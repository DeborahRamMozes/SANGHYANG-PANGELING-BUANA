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d196b83cf43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geling_Riksa" sheetId="1" r:id="Rab40f0978d894a3d"/>
    <x:sheet xmlns:r="http://schemas.openxmlformats.org/officeDocument/2006/relationships" name="Tabel_Inti" sheetId="2" r:id="R45ebe91f517a4ae9"/>
    <x:sheet xmlns:r="http://schemas.openxmlformats.org/officeDocument/2006/relationships" name="Riksa_Ngaran_Lokal" sheetId="3" r:id="R5103bb8cc26a405b"/>
    <x:sheet xmlns:r="http://schemas.openxmlformats.org/officeDocument/2006/relationships" name="Jalur_Bibit" sheetId="4" r:id="R8ee59a0cf3bd4144"/>
    <x:sheet xmlns:r="http://schemas.openxmlformats.org/officeDocument/2006/relationships" name="Riksa_Wanci" sheetId="5" r:id="R7928b2beeaf24e4b"/>
    <x:sheet xmlns:r="http://schemas.openxmlformats.org/officeDocument/2006/relationships" name="Sumber" sheetId="6" r:id="Rd7876918198041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65F46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64E3B"/>
      </x:patternFill>
    </x:fill>
    <x:fill>
      <x:patternFill patternType="solid">
        <x:fgColor rgb="FFECFDF5"/>
      </x:patternFill>
    </x:fill>
    <x:fill>
      <x:patternFill patternType="solid">
        <x:fgColor rgb="FF14532D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BBF7D0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89f20ae5934a64" /><Relationship Type="http://schemas.openxmlformats.org/officeDocument/2006/relationships/theme" Target="/xl/theme/theme1.xml" Id="R48ba0c8733b34d7e" /><Relationship Type="http://schemas.openxmlformats.org/officeDocument/2006/relationships/sharedStrings" Target="/xl/sharedStrings.xml" Id="R43d76b23bc2f4793" /><Relationship Type="http://schemas.openxmlformats.org/officeDocument/2006/relationships/worksheet" Target="/xl/worksheets/sheet1.xml" Id="Rab40f0978d894a3d" /><Relationship Type="http://schemas.openxmlformats.org/officeDocument/2006/relationships/worksheet" Target="/xl/worksheets/sheet2.xml" Id="R45ebe91f517a4ae9" /><Relationship Type="http://schemas.openxmlformats.org/officeDocument/2006/relationships/worksheet" Target="/xl/worksheets/sheet3.xml" Id="R5103bb8cc26a405b" /><Relationship Type="http://schemas.openxmlformats.org/officeDocument/2006/relationships/worksheet" Target="/xl/worksheets/sheet4.xml" Id="R8ee59a0cf3bd4144" /><Relationship Type="http://schemas.openxmlformats.org/officeDocument/2006/relationships/worksheet" Target="/xl/worksheets/sheet5.xml" Id="R7928b2beeaf24e4b" /><Relationship Type="http://schemas.openxmlformats.org/officeDocument/2006/relationships/worksheet" Target="/xl/worksheets/sheet6.xml" Id="Rd78769181980417d" /></Relationships>
</file>

<file path=xl/tables/table1.xml><?xml version="1.0" encoding="utf-8"?>
<x:table xmlns:x="http://schemas.openxmlformats.org/spreadsheetml/2006/main" id="1" name="TabelPopohonanInti" displayName="TabelPopohonanInti" ref="A1:U19" headerRowCount="1">
  <x:tableColumns count="21">
    <x:tableColumn id="1" name="No"/>
    <x:tableColumn id="2" name="Ngaran Sunda / Lokal"/>
    <x:tableColumn id="3" name="Ngaran ilmiah"/>
    <x:tableColumn id="4" name="Kategori"/>
    <x:tableColumn id="5" name="Status konservasi / hukum"/>
    <x:tableColumn id="6" name="Endemisme / sebaran"/>
    <x:tableColumn id="7" name="Manggihna di mana ayeuna"/>
    <x:tableColumn id="8" name="Manggihna baheula / catetan"/>
    <x:tableColumn id="9" name="Mangpaat ka taneuh-cai-leuweung"/>
    <x:tableColumn id="10" name="Mangpaat ka jelema nu nanem"/>
    <x:tableColumn id="11" name="Nu cocog nanem"/>
    <x:tableColumn id="12" name="Nu ulah nanem / larangan"/>
    <x:tableColumn id="13" name="Wanci tanem caang-poek"/>
    <x:tableColumn id="14" name="Bulan Masehi praktis"/>
    <x:tableColumn id="15" name="Kala Sunda / tanggal"/>
    <x:tableColumn id="16" name="Tanah &amp; elevasi cocok"/>
    <x:tableColumn id="17" name="Cara meunang bibit"/>
    <x:tableColumn id="18" name="Saha boga bibit / jalur resmi"/>
    <x:tableColumn id="19" name="Catetan Sunda Buhun"/>
    <x:tableColumn id="20" name="Tingkat kapastian"/>
    <x:tableColumn id="21" name="Sumber URL"/>
  </x:tableColumns>
  <x:tableStyleInfo name="TableStyleMedium2" showRowStripes="1"/>
</x:table>
</file>

<file path=xl/tables/table2.xml><?xml version="1.0" encoding="utf-8"?>
<x:table xmlns:x="http://schemas.openxmlformats.org/spreadsheetml/2006/main" id="2" name="TabelRiksaNgaran" displayName="TabelRiksaNgaran" ref="A1:H5" headerRowCount="1">
  <x:tableColumns count="8">
    <x:tableColumn id="1" name="No"/>
    <x:tableColumn id="2" name="Ngaran anu disebut/diinget"/>
    <x:tableColumn id="3" name="Dugaan identitas"/>
    <x:tableColumn id="4" name="Status dina tabel"/>
    <x:tableColumn id="5" name="Nu kudu dipariksa"/>
    <x:tableColumn id="6" name="Putusan ayeuna"/>
    <x:tableColumn id="7" name="Tingkat"/>
    <x:tableColumn id="8" name="Catetan"/>
  </x:tableColumns>
  <x:tableStyleInfo name="TableStyleMedium2" showRowStripes="1"/>
</x:table>
</file>

<file path=xl/tables/table3.xml><?xml version="1.0" encoding="utf-8"?>
<x:table xmlns:x="http://schemas.openxmlformats.org/spreadsheetml/2006/main" id="3" name="TabelJalurBibit" displayName="TabelJalurBibit" ref="A1:F6" headerRowCount="1">
  <x:tableColumns count="6">
    <x:tableColumn id="1" name="Jalur"/>
    <x:tableColumn id="2" name="Saha / lembaga"/>
    <x:tableColumn id="3" name="Kanggo jenis naon"/>
    <x:tableColumn id="4" name="Cara nyuhunkeun"/>
    <x:tableColumn id="5" name="Catetan penting"/>
    <x:tableColumn id="6" name="Sumber URL"/>
  </x:tableColumns>
  <x:tableStyleInfo name="TableStyleMedium2" showRowStripes="1"/>
</x:table>
</file>

<file path=xl/tables/table4.xml><?xml version="1.0" encoding="utf-8"?>
<x:table xmlns:x="http://schemas.openxmlformats.org/spreadsheetml/2006/main" id="4" name="TabelRiksaWanci" displayName="TabelRiksaWanci" ref="A1:G6" headerRowCount="1">
  <x:tableColumns count="7">
    <x:tableColumn id="1" name="Kaayaan"/>
    <x:tableColumn id="2" name="Wanci tanem"/>
    <x:tableColumn id="3" name="Caang / Poek"/>
    <x:tableColumn id="4" name="Bulan Masehi praktis Jabar"/>
    <x:tableColumn id="5" name="Kala Sunda"/>
    <x:tableColumn id="6" name="Laku"/>
    <x:tableColumn id="7" name="Larangan"/>
  </x:tableColumns>
  <x:tableStyleInfo name="TableStyleMedium2" showRowStripes="1"/>
</x:table>
</file>

<file path=xl/tables/table5.xml><?xml version="1.0" encoding="utf-8"?>
<x:table xmlns:x="http://schemas.openxmlformats.org/spreadsheetml/2006/main" id="5" name="TabelSumber" displayName="TabelSumber" ref="A1:E17" headerRowCount="1">
  <x:tableColumns count="5">
    <x:tableColumn id="1" name="Kode"/>
    <x:tableColumn id="2" name="Jenis sumber"/>
    <x:tableColumn id="3" name="Judul / lembaga"/>
    <x:tableColumn id="4" name="Ringkesan guna"/>
    <x:tableColumn id="5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f8a46f78d14d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b111312eab4a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462a30705347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933a3938904c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06b2ccf3e5422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  <x:col min="4" max="4" width="28" hidden="0" customWidth="1"/>
    <x:col min="5" max="5" width="28" hidden="0" customWidth="1"/>
  </x:cols>
  <x:sheetData>
    <x:row r="1" ht="28" customHeight="1">
      <x:c r="A1" s="3" t="str">
        <x:v>Tabel Popohonan Gede Langka / Endemik Jawa Barat</x:v>
      </x:c>
      <x:c r="B1" s="3" t="str"/>
      <x:c r="D1" s="15" t="str">
        <x:v>Ringkesan</x:v>
      </x:c>
      <x:c r="E1" s="15" t="str">
        <x:v>Jumlah</x:v>
      </x:c>
    </x:row>
    <x:row r="2">
      <x:c r="A2" s="9" t="str">
        <x:v>Dijieun</x:v>
      </x:c>
      <x:c r="B2" s="6" t="str">
        <x:v>2026-06-21</x:v>
      </x:c>
      <x:c r="D2" s="31" t="str">
        <x:v>Total entri Tabel_Inti</x:v>
      </x:c>
      <x:c r="E2" t="n">
        <x:f>COUNTA(Tabel_Inti!B2:B19)</x:f>
        <x:v>18</x:v>
      </x:c>
    </x:row>
    <x:row r="3">
      <x:c r="A3" s="9" t="str">
        <x:v>Pancer</x:v>
      </x:c>
      <x:c r="B3" s="6" t="str">
        <x:v>Sunda Buhun dibaca minangka kaca panon: Buana, Lemah Cai, Cai, Leuweung, Gunung, Wanci, Laku, Karuhun, Kabuyutan.</x:v>
      </x:c>
      <x:c r="D3" s="31" t="str">
        <x:v>Entri kategori INTI</x:v>
      </x:c>
      <x:c r="E3" t="n">
        <x:f>COUNTIF(Tabel_Inti!D2:D19,"*INTI*")</x:f>
        <x:v>0</x:v>
      </x:c>
    </x:row>
    <x:row r="4">
      <x:c r="A4" s="9" t="str">
        <x:v>Rambu 1</x:v>
      </x:c>
      <x:c r="B4" s="6" t="str">
        <x:v>Ulah ngarang tanggal Kalender Sunda. Kolom Kala Sunda ditandaan 'Perlu konversi resmi' lamun sumberna can kapanggih.</x:v>
      </x:c>
      <x:c r="D4" s="31" t="str">
        <x:v>Entri perlu verifikasi ngaran</x:v>
      </x:c>
      <x:c r="E4" t="n">
        <x:f>COUNTA(Riksa_Ngaran_Lokal!B2:B5)</x:f>
        <x:v>4</x:v>
      </x:c>
    </x:row>
    <x:row r="5">
      <x:c r="A5" s="9" t="str">
        <x:v>Rambu 2</x:v>
      </x:c>
      <x:c r="B5" s="6" t="str">
        <x:v>Klaim 'pohon moal hirup lamun nu nanemna teu pas' teu diasupkeun jadi bebeneran kuna lamun teu aya sumber naskah/adat anu écés.</x:v>
      </x:c>
    </x:row>
    <x:row r="6">
      <x:c r="A6" s="9" t="str">
        <x:v>Rambu 3</x:v>
      </x:c>
      <x:c r="B6" s="6" t="str">
        <x:v>Taneman dilindungi/terancam teu meunang dicokot bibitna ti alam. Jalurna kudu resmi: Dinas Kehutanan, UPTD SPTH, BKSDA/Taman Nasional, BRIN/Kebun Raya, atawa penangkar/pengedar terdaftar.</x:v>
      </x:c>
    </x:row>
    <x:row r="7">
      <x:c r="A7" s="9" t="str">
        <x:v>Rambu 4</x:v>
      </x:c>
      <x:c r="B7" s="6" t="str">
        <x:v>Nu disebut 'cocok keur jelema' dibaca tina laku: boga lahan, cai, ijin, kasepuhan/kaweruh lokal, jeung sanggup ngarawat puluhan taun.</x:v>
      </x:c>
    </x:row>
    <x:row r="8">
      <x:c r="A8" s="9" t="str">
        <x:v>Tingkat Kapastian A</x:v>
      </x:c>
      <x:c r="B8" s="6" t="str">
        <x:v>Naskah/arsip utama.</x:v>
      </x:c>
    </x:row>
    <x:row r="9">
      <x:c r="A9" s="9" t="str">
        <x:v>Tingkat Kapastian B</x:v>
      </x:c>
      <x:c r="B9" s="6" t="str">
        <x:v>Regulasi resmi, museum/arsip, jurnal, buku, laporan lembaga anu bisa dipariksa.</x:v>
      </x:c>
    </x:row>
    <x:row r="10">
      <x:c r="A10" s="9" t="str">
        <x:v>Tingkat Kapastian C</x:v>
      </x:c>
      <x:c r="B10" s="6" t="str">
        <x:v>Catetan adat/komunitas anu kacatet.</x:v>
      </x:c>
    </x:row>
    <x:row r="11">
      <x:c r="A11" s="9" t="str">
        <x:v>Tingkat Kapastian D</x:v>
      </x:c>
      <x:c r="B11" s="6" t="str">
        <x:v>Tafsir anyar anu aman, henteu disebut kuna.</x:v>
      </x:c>
    </x:row>
    <x:row r="12">
      <x:c r="A12" s="9" t="str">
        <x:v>Tingkat Kapastian X</x:v>
      </x:c>
      <x:c r="B12" s="6" t="str">
        <x:v>Can diverifikasi; kudu ditunda atawa ditolak minangka kaweruh Sunda Buhun.</x:v>
      </x:c>
    </x:row>
    <x:row r="13">
      <x:c r="A13" s="9" t="str">
        <x:v>Catetan</x:v>
      </x:c>
      <x:c r="B13" s="6" t="str">
        <x:v>Tabel ieu arsip awal pikeun GitHub/Pustaka Hirup. Perlu diriksa deui ku ahli botani, ahli naskah Sunda Kuna, jeung pangaping adat/leuweung lokal.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4" hidden="0" customWidth="1"/>
    <x:col min="3" max="3" width="26" hidden="0" customWidth="1"/>
    <x:col min="4" max="4" width="22" hidden="0" customWidth="1"/>
    <x:col min="5" max="5" width="26" hidden="0" customWidth="1"/>
    <x:col min="6" max="6" width="26" hidden="0" customWidth="1"/>
    <x:col min="7" max="7" width="28" hidden="0" customWidth="1"/>
    <x:col min="8" max="8" width="28" hidden="0" customWidth="1"/>
    <x:col min="9" max="9" width="32" hidden="0" customWidth="1"/>
    <x:col min="10" max="10" width="32" hidden="0" customWidth="1"/>
    <x:col min="11" max="11" width="30" hidden="0" customWidth="1"/>
    <x:col min="12" max="12" width="32" hidden="0" customWidth="1"/>
    <x:col min="13" max="13" width="24" hidden="0" customWidth="1"/>
    <x:col min="14" max="14" width="20" hidden="0" customWidth="1"/>
    <x:col min="15" max="15" width="28" hidden="0" customWidth="1"/>
    <x:col min="16" max="16" width="34" hidden="0" customWidth="1"/>
    <x:col min="17" max="17" width="32" hidden="0" customWidth="1"/>
    <x:col min="18" max="18" width="32" hidden="0" customWidth="1"/>
    <x:col min="19" max="19" width="34" hidden="0" customWidth="1"/>
    <x:col min="20" max="20" width="16" hidden="0" customWidth="1"/>
    <x:col min="21" max="21" width="60" hidden="0" customWidth="1"/>
  </x:cols>
  <x:sheetData>
    <x:row r="1">
      <x:c r="A1" s="26" t="str">
        <x:v>No</x:v>
      </x:c>
      <x:c r="B1" s="26" t="str">
        <x:v>Ngaran Sunda / Lokal</x:v>
      </x:c>
      <x:c r="C1" s="26" t="str">
        <x:v>Ngaran ilmiah</x:v>
      </x:c>
      <x:c r="D1" s="26" t="str">
        <x:v>Kategori</x:v>
      </x:c>
      <x:c r="E1" s="26" t="str">
        <x:v>Status konservasi / hukum</x:v>
      </x:c>
      <x:c r="F1" s="26" t="str">
        <x:v>Endemisme / sebaran</x:v>
      </x:c>
      <x:c r="G1" s="26" t="str">
        <x:v>Manggihna di mana ayeuna</x:v>
      </x:c>
      <x:c r="H1" s="26" t="str">
        <x:v>Manggihna baheula / catetan</x:v>
      </x:c>
      <x:c r="I1" s="26" t="str">
        <x:v>Mangpaat ka taneuh-cai-leuweung</x:v>
      </x:c>
      <x:c r="J1" s="26" t="str">
        <x:v>Mangpaat ka jelema nu nanem</x:v>
      </x:c>
      <x:c r="K1" s="26" t="str">
        <x:v>Nu cocog nanem</x:v>
      </x:c>
      <x:c r="L1" s="26" t="str">
        <x:v>Nu ulah nanem / larangan</x:v>
      </x:c>
      <x:c r="M1" s="26" t="str">
        <x:v>Wanci tanem caang-poek</x:v>
      </x:c>
      <x:c r="N1" s="26" t="str">
        <x:v>Bulan Masehi praktis</x:v>
      </x:c>
      <x:c r="O1" s="26" t="str">
        <x:v>Kala Sunda / tanggal</x:v>
      </x:c>
      <x:c r="P1" s="26" t="str">
        <x:v>Tanah &amp; elevasi cocok</x:v>
      </x:c>
      <x:c r="Q1" s="26" t="str">
        <x:v>Cara meunang bibit</x:v>
      </x:c>
      <x:c r="R1" s="26" t="str">
        <x:v>Saha boga bibit / jalur resmi</x:v>
      </x:c>
      <x:c r="S1" s="26" t="str">
        <x:v>Catetan Sunda Buhun</x:v>
      </x:c>
      <x:c r="T1" s="26" t="str">
        <x:v>Tingkat kapastian</x:v>
      </x:c>
      <x:c r="U1" s="26" t="str">
        <x:v>Sumber URL</x:v>
      </x:c>
    </x:row>
    <x:row r="2">
      <x:c r="A2" s="27" t="n">
        <x:v>1</x:v>
      </x:c>
      <x:c r="B2" s="27" t="str">
        <x:v>Saninten / Sarangan / Ki Ronyok</x:v>
      </x:c>
      <x:c r="C2" s="27" t="str">
        <x:v>Castanopsis argentea</x:v>
      </x:c>
      <x:c r="D2" s="27" t="str">
        <x:v>INTI: langka-prioritas Jawa Barat</x:v>
      </x:c>
      <x:c r="E2" s="27" t="str">
        <x:v>EN IUCN; dilindungi P.106/2018; perlu izin konservasi</x:v>
      </x:c>
      <x:c r="F2" s="27" t="str">
        <x:v>Asli Indonesia; kuat di hutan pegunungan Jawa bagian barat; sababaraha sumber nyebut prioritas/endemi Jawa Barat</x:v>
      </x:c>
      <x:c r="G2" s="27" t="str">
        <x:v>Gunung Gede Pangrango; Halimun-Salak; Gunung Tilu/Ciwidey; kawasan pegunungan lembap Jabar</x:v>
      </x:c>
      <x:c r="H2" s="27" t="str">
        <x:v>Dicaritakeun baheula leuwih lega di Jawa bagian barat-tengah; ayeuna permudaan alam sering hésé</x:v>
      </x:c>
      <x:c r="I2" s="27" t="str">
        <x:v>Tajuk gede nahan lembab; akar nyekel taneuh; buah keur satwa; nyangga cai hulu</x:v>
      </x:c>
      <x:c r="J2" s="27" t="str">
        <x:v>Ngajarkeun laku sabar; pohon umur panjang; cocok jadi pancer konservasi kulawarga/komunitas</x:v>
      </x:c>
      <x:c r="K2" s="27" t="str">
        <x:v>Nu boga lahan hulu/pegunungan; sanggup rawat 20+ taun; teu komérsial kayu</x:v>
      </x:c>
      <x:c r="L2" s="27" t="str">
        <x:v>Ulah dicokot ti alam; ulah ditanam di halaman sempit/panas/kering; ulah diperlakukeun jadi kayu tebang</x:v>
      </x:c>
      <x:c r="M2" s="27" t="str">
        <x:v>Caang lemes: isuk, mendung, saatos hujan leutik; ulah peuting poek tanpa monitoring</x:v>
      </x:c>
      <x:c r="N2" s="27" t="str">
        <x:v>Oktober–Januari lamun hujan geus ajeg</x:v>
      </x:c>
      <x:c r="O2" s="27" t="str">
        <x:v>Perlu konversi Kala Sunda resmi; ulah ngarang tanggal</x:v>
      </x:c>
      <x:c r="P2" s="27" t="str">
        <x:v>Latosol/andosol humus, beueus, drainase alus; umumna &gt;800–1500 m dpl; jauh ti genangan</x:v>
      </x:c>
      <x:c r="Q2" s="27" t="str">
        <x:v>Ajukeun ka Dishut/UPTD; tanya program konservasi saninten; bibit legal wungkul</x:v>
      </x:c>
      <x:c r="R2" s="27" t="str">
        <x:v>Dishut Jabar, UPTD SPTH, TNGGP/TNGHS, BRIN/Kebun Raya Cibodas/Bogor, penangkar terdaftar lamun aya</x:v>
      </x:c>
      <x:c r="S2" s="27" t="str">
        <x:v>Dibaca minangka tangkal pangreksa cai jeung karuhun leuweung; lain tangkal sembarang keur ditebang</x:v>
      </x:c>
      <x:c r="T2" s="27" t="str">
        <x:v>B</x:v>
      </x:c>
      <x:c r="U2" s="27" t="str">
        <x:v>https://dishut.jabarprov.go.id/postingan/pohon-saninten-flora-hutan-yang-berperan-menjaga-ekosistem-698c1437ac96e86939935eec ; https://media.neliti.com/media/publications/54520-ID-kajian-ekologi-permudaan-saninten-castan.pdf ; https://jdih.kehutanan.go.id/new2/home/portfolioDetails3/P_106_2018_JENIS_TSL_menlhk_07252019152513.pdf/106/2018/4/949</x:v>
      </x:c>
    </x:row>
    <x:row r="3">
      <x:c r="A3" s="27" t="n">
        <x:v>2</x:v>
      </x:c>
      <x:c r="B3" s="27" t="str">
        <x:v>Resak Brebes / Palahlar laki / Ki Tenjo</x:v>
      </x:c>
      <x:c r="C3" s="27" t="str">
        <x:v>Vatica javanica subsp. javanica</x:v>
      </x:c>
      <x:c r="D3" s="27" t="str">
        <x:v>INTI: endemik Jawa, kritis</x:v>
      </x:c>
      <x:c r="E3" s="27" t="str">
        <x:v>CR/IUCN dina studi mutakhir; teu aya jalur komérsial normal</x:v>
      </x:c>
      <x:c r="F3" s="27" t="str">
        <x:v>Endemik Jawa; sumber botani nyebut populasi ayeuna kacida heureutna, utamana Ciangir jeung Halimun di Jawa Barat</x:v>
      </x:c>
      <x:c r="G3" s="27" t="str">
        <x:v>Ciangir; Halimun; sumber séjén nyambung ka Brebes-Priangan</x:v>
      </x:c>
      <x:c r="H3" s="27" t="str">
        <x:v>Baheula bagian tina leuweung dipterokarpa Jawa; ayeuna loba leungit ku robah habitat</x:v>
      </x:c>
      <x:c r="I3" s="27" t="str">
        <x:v>Pohon meranti Jawa: nyekel struktur leuweung lembap; akar kuat; habitat mikro satwa</x:v>
      </x:c>
      <x:c r="J3" s="27" t="str">
        <x:v>Ngajarkeun laku panangtayungan; nanemna kudu proyek konservasi, lain hobi halaman</x:v>
      </x:c>
      <x:c r="K3" s="27" t="str">
        <x:v>Tim konservasi, taman nasional, BRIN/Kebun Raya, komunitas leuweung anu boga ijin</x:v>
      </x:c>
      <x:c r="L3" s="27" t="str">
        <x:v>Ulah dipindahkeun ti alam; ulah dibeli ti pasar teu jelas; ulah tanam lamun teu boga rencana monitoring</x:v>
      </x:c>
      <x:c r="M3" s="27" t="str">
        <x:v>Caang teduh: isuk, dina naungan awal; ulah poék-peuting; perlu kelembapan ajeg</x:v>
      </x:c>
      <x:c r="N3" s="27" t="str">
        <x:v>Oktober–Desember, awal hujan ajeg</x:v>
      </x:c>
      <x:c r="O3" s="27" t="str">
        <x:v>Perlu konversi Kala Sunda resmi; tanggal tanem kudu disaluyukeun jeung hujan lokal</x:v>
      </x:c>
      <x:c r="P3" s="27" t="str">
        <x:v>Hutan dataran rendah-lembap nepi perbukitan; taneuh jero, lemes, beueus, drainase alus</x:v>
      </x:c>
      <x:c r="Q3" s="27" t="str">
        <x:v>Kudu ngaliwatan lembaga konservasi/riset; menta izin jeung materi tanam legal</x:v>
      </x:c>
      <x:c r="R3" s="27" t="str">
        <x:v>BRIN/Kebun Raya Bogor, TNGHS/TNU terkait, BKSDA, jaringan konservasi pohon langka</x:v>
      </x:c>
      <x:c r="S3" s="27" t="str">
        <x:v>Ieu lain tangkal keur komérsial; ieu pangeling kana leungitna leuweung Jawa</x:v>
      </x:c>
      <x:c r="T3" s="27" t="str">
        <x:v>B</x:v>
      </x:c>
      <x:c r="U3" s="27" t="str">
        <x:v>https://botanika.id/population-status-and-conservation-of-the-threatened-and-endemic-tree-vatica-javanica-subsp-javanica-dipterocarpaceae/ ; https://muspera.kehutanan.go.id/Perpus_search/detail/24358 ; https://www.wwf.id/id/blog/para-pakar-susun-srak-pohon-langka-indonesia-regional-kalimantan</x:v>
      </x:c>
    </x:row>
    <x:row r="4">
      <x:c r="A4" s="27" t="n">
        <x:v>3</x:v>
      </x:c>
      <x:c r="B4" s="27" t="str">
        <x:v>Palahlar Gunung / Keruing Gunung</x:v>
      </x:c>
      <x:c r="C4" s="27" t="str">
        <x:v>Dipterocarpus retusus</x:v>
      </x:c>
      <x:c r="D4" s="27" t="str">
        <x:v>INTI/PANGIRING: langka Jawa Barat</x:v>
      </x:c>
      <x:c r="E4" s="27" t="str">
        <x:v>Terancam/langka dina literatur; risiko kepunahan tinggi; status hukum perlu cek per jenis</x:v>
      </x:c>
      <x:c r="F4" s="27" t="str">
        <x:v>Sebaran Asia luas, tapi populasi Jawa Barat lokal langka</x:v>
      </x:c>
      <x:c r="G4" s="27" t="str">
        <x:v>Hutan Lindung Gunung Cakrabuana, Sumedang; catetan Jawa Barat séjén</x:v>
      </x:c>
      <x:c r="H4" s="27" t="str">
        <x:v>Baheula kayu pertukangan penting di Jawa; ayeuna pohon induk saeutik</x:v>
      </x:c>
      <x:c r="I4" s="27" t="str">
        <x:v>Akar kuat di lereng; nyangga hulu; bagian struktur leuweung pegunungan</x:v>
      </x:c>
      <x:c r="J4" s="27" t="str">
        <x:v>Mangpaatna pangeling supaya kayu teu ngan ukur ditebang; konservasi hulu</x:v>
      </x:c>
      <x:c r="K4" s="27" t="str">
        <x:v>Nu boga lahan lereng hulu jeung sanggup pangawasan; kelompok RHL/leuweung</x:v>
      </x:c>
      <x:c r="L4" s="27" t="str">
        <x:v>Ulah tanam di dataran panas/kompak; ulah ambil biji ti hutan lindung tanpa izin</x:v>
      </x:c>
      <x:c r="M4" s="27" t="str">
        <x:v>Caang-mendung, isuk; sanggeus taneuh beueus; ulah peuting poek</x:v>
      </x:c>
      <x:c r="N4" s="27" t="str">
        <x:v>Oktober–Januari</x:v>
      </x:c>
      <x:c r="O4" s="27" t="str">
        <x:v>Perlu konversi Kala Sunda; prioritasna awal usum hujan</x:v>
      </x:c>
      <x:c r="P4" s="27" t="str">
        <x:v>Latosol masam-cukup masam; 1000–1225 m dpl dina studi Cakrabuana; lereng bisa curam</x:v>
      </x:c>
      <x:c r="Q4" s="27" t="str">
        <x:v>Ajukeun ka UPTD/Dishut; pikeun jenis langka kudu konsultasi CDK/BKSDA/Perhutani lamun lokasi hutan negara</x:v>
      </x:c>
      <x:c r="R4" s="27" t="str">
        <x:v>UPTD SPTH, CDK Jabar, Perhutani/BRIN/Kebun Raya lamun aya program perbanyakan</x:v>
      </x:c>
      <x:c r="S4" s="27" t="str">
        <x:v>Tangkal lereng: moal 'hirup' lamun lemah-cai teu merenah; ieu laku ekologis, lain ramalan</x:v>
      </x:c>
      <x:c r="T4" s="27" t="str">
        <x:v>B</x:v>
      </x:c>
      <x:c r="U4" s="27" t="str">
        <x:v>https://repository.ipb.ac.id/handle/123456789/20641 ; https://www.researchgate.net/publication/319228158_KARAKTERISTIK_TEMPAT_TUMBUH_POHON_PALAHLAR_GUNUNG_Dipterocarpus_retusus_Bl_DI_KAWASAN_HUTAN_LINDUNG_GUNUNG_CAKRABUANA_SUMEDANG_JAWA_BARAT ; https://media.neliti.com/media/publications/70206-ID-potensi-jenis-dipterocarpus-retusus-blum.pdf</x:v>
      </x:c>
    </x:row>
    <x:row r="5">
      <x:c r="A5" s="27" t="n">
        <x:v>4</x:v>
      </x:c>
      <x:c r="B5" s="27" t="str">
        <x:v>Palahlar / Keruing Bunga</x:v>
      </x:c>
      <x:c r="C5" s="27" t="str">
        <x:v>Dipterocarpus hasseltii</x:v>
      </x:c>
      <x:c r="D5" s="27" t="str">
        <x:v>INTI/PANGIRING: langka di TNGHS</x:v>
      </x:c>
      <x:c r="E5" s="27" t="str">
        <x:v>EN IUCN dina studi; tren populasi turun</x:v>
      </x:c>
      <x:c r="F5" s="27" t="str">
        <x:v>Sebaran Malesia, tapi populasi Jawa Barat langka</x:v>
      </x:c>
      <x:c r="G5" s="27" t="str">
        <x:v>Resort Gunung Salak I, Taman Nasional Gunung Halimun Salak</x:v>
      </x:c>
      <x:c r="H5" s="27" t="str">
        <x:v>Jenis pohon potensial Jawa anu dikhawatirkan terancam punah</x:v>
      </x:c>
      <x:c r="I5" s="27" t="str">
        <x:v>Nyusun kanopi hutan lembap; akar ngajaga lereng jeung cai</x:v>
      </x:c>
      <x:c r="J5" s="27" t="str">
        <x:v>Ngajarkeun teu ngudag kayu; ngajaga indukan jeung regenerasi</x:v>
      </x:c>
      <x:c r="K5" s="27" t="str">
        <x:v>Kelompok konservasi leuweung lembap; lahan cukup luas</x:v>
      </x:c>
      <x:c r="L5" s="27" t="str">
        <x:v>Ulah nebang indukan; ulah pindah bibit liar; ulah tanam tanpa rencana naungan awal</x:v>
      </x:c>
      <x:c r="M5" s="27" t="str">
        <x:v>Isuk caang teduh; mendung; awal hujan; ulah poék jeung banjir</x:v>
      </x:c>
      <x:c r="N5" s="27" t="str">
        <x:v>Oktober–Desember</x:v>
      </x:c>
      <x:c r="O5" s="27" t="str">
        <x:v>Perlu konversi Kala Sunda resmi</x:v>
      </x:c>
      <x:c r="P5" s="27" t="str">
        <x:v>Hutan lembap; taneuh jero, drainase alus; perbukitan/pegunungan handap</x:v>
      </x:c>
      <x:c r="Q5" s="27" t="str">
        <x:v>Materi tanam kudu legal; cek TNGHS/BRIN/UPTD</x:v>
      </x:c>
      <x:c r="R5" s="27" t="str">
        <x:v>TNGHS, BRIN/Kebun Raya, UPTD SPTH, jaringan penangkar resmi</x:v>
      </x:c>
      <x:c r="S5" s="27" t="str">
        <x:v>Dina Sunda Buhun, tangkal gede di hulu téh bagian tina raga leuweung, lain stok kayu</x:v>
      </x:c>
      <x:c r="T5" s="27" t="str">
        <x:v>B</x:v>
      </x:c>
      <x:c r="U5" s="27" t="str">
        <x:v>https://repository.ipb.ac.id/handle/123456789/122555 ; https://pdfs.semanticscholar.org/a769/005c0b347faa4420201c2d195a23cc1d1cb2.pdf ; https://media.neliti.com/media/publications/175585-ID-none.pdf</x:v>
      </x:c>
    </x:row>
    <x:row r="6">
      <x:c r="A6" s="27" t="n">
        <x:v>5</x:v>
      </x:c>
      <x:c r="B6" s="27" t="str">
        <x:v>Manglid / Baros</x:v>
      </x:c>
      <x:c r="C6" s="27" t="str">
        <x:v>Manglietia glauca / Magnolia spp. (perlu verifikasi takson)</x:v>
      </x:c>
      <x:c r="D6" s="27" t="str">
        <x:v>INTI/PANGIRING: khas Jawa Barat, mulai langka lokal</x:v>
      </x:c>
      <x:c r="E6" s="27" t="str">
        <x:v>Langka lokal dina sababaraha laporan; bibit relatif aya dibanding jenis kritis</x:v>
      </x:c>
      <x:c r="F6" s="27" t="str">
        <x:v>Asli hutan pegunungan Jawa Barat; henteu kudu disebut endemik murni tanpa cek takson</x:v>
      </x:c>
      <x:c r="G6" s="27" t="str">
        <x:v>Bandung, Garut, Tasikmalaya, Cakrabuana, Gunung Wayang, hutan rakyat Jabar</x:v>
      </x:c>
      <x:c r="H6" s="27" t="str">
        <x:v>Baheula dipaké kayu; ayeuna dikembangkeun keur RHL jeung hutan rakyat</x:v>
      </x:c>
      <x:c r="I6" s="27" t="str">
        <x:v>Cepat tumbuh; kanopi hadé; bantu rehabilitasi lereng jeung cai</x:v>
      </x:c>
      <x:c r="J6" s="27" t="str">
        <x:v>Mangpaat ekonomi non-eksploitatif jangka panjang; latihan miara leuweung rakyat</x:v>
      </x:c>
      <x:c r="K6" s="27" t="str">
        <x:v>Warga hulu, hutan rakyat, kelompok tani hutan; lahan cukup cai</x:v>
      </x:c>
      <x:c r="L6" s="27" t="str">
        <x:v>Ulah tanam di tanah gersang/kapur kering; ulah asal bibit tanpa identitas</x:v>
      </x:c>
      <x:c r="M6" s="27" t="str">
        <x:v>Caang isuk; awal hujan; taneuh geus baseuh jero</x:v>
      </x:c>
      <x:c r="N6" s="27" t="str">
        <x:v>Oktober–Januari</x:v>
      </x:c>
      <x:c r="O6" s="27" t="str">
        <x:v>Perlu konversi Kala Sunda; ulah tanggal palsu</x:v>
      </x:c>
      <x:c r="P6" s="27" t="str">
        <x:v>400–1200 m dpl; curah hujan 1500–3500 mm/tahun; latosol/andosol/aluvial/podsolik sesuai studi</x:v>
      </x:c>
      <x:c r="Q6" s="27" t="str">
        <x:v>Bisa ngaliwatan pengedar terdaftar; cek ketersediaan</x:v>
      </x:c>
      <x:c r="R6" s="27" t="str">
        <x:v>CV Akar Mas Selawu Tasikmalaya; CV Calakan Bina Lingkungan Ciawi Tasikmalaya; UPTD SPTH/Dishut Jabar</x:v>
      </x:c>
      <x:c r="S6" s="27" t="str">
        <x:v>Cocog keur jelema anu laku na sabar jeung boga rencana rawat, sabab tangkal kayu henteu langsung masihan hasil</x:v>
      </x:c>
      <x:c r="T6" s="27" t="str">
        <x:v>B</x:v>
      </x:c>
      <x:c r="U6" s="27" t="str">
        <x:v>https://uptdspth-dishut.jabarprov.go.id/pengadapengedarbibitjawabarat ; https://media.neliti.com/media/publications/123442-ID-none.pdf ; https://proceedings.ums.ac.id/snpbs/article/download/513/507 ; https://www.perhutani.co.id/perhutani-bersama-mahasiswa-upi-menanam-pohon-di-hutan-lindung-cakrabuana-tasikmalaya/</x:v>
      </x:c>
    </x:row>
    <x:row r="7">
      <x:c r="A7" s="27" t="n">
        <x:v>6</x:v>
      </x:c>
      <x:c r="B7" s="27" t="str">
        <x:v>Ki Tambaga / Ki Tembaga</x:v>
      </x:c>
      <x:c r="C7" s="27" t="str">
        <x:v>Syzygium antisepticum / Syzygium spp. (ngaran lokal loba sinonim)</x:v>
      </x:c>
      <x:c r="D7" s="27" t="str">
        <x:v>PANGIRING: asli/leuweung Jabar, verifikasi takson</x:v>
      </x:c>
      <x:c r="E7" s="27" t="str">
        <x:v>Status beda-beda per spesies; teu cukup pikeun disebut endemik murni</x:v>
      </x:c>
      <x:c r="F7" s="27" t="str">
        <x:v>Syzygium spp. aya di Jawa Barat; sababaraha laporan konservasi lokal nyebut Ki Tambaga</x:v>
      </x:c>
      <x:c r="G7" s="27" t="str">
        <x:v>Gunung Wayang, Kamojang/Darajat, Gede Pangrango, Cakrabuana; perlu validasi spesimen</x:v>
      </x:c>
      <x:c r="H7" s="27" t="str">
        <x:v>Catetan lokal nyebut ki tambaga minangka kayu beureum kuat; identitas ilmiah mindeng kabur</x:v>
      </x:c>
      <x:c r="I7" s="27" t="str">
        <x:v>Buah/kanopi keur satwa; akar nyekel taneuh; nguatkeun vegetasi hulu</x:v>
      </x:c>
      <x:c r="J7" s="27" t="str">
        <x:v>Ngajarkeun taliti kana ngaran lokal: hiji ngaran bisa beda spesies</x:v>
      </x:c>
      <x:c r="K7" s="27" t="str">
        <x:v>Nu sanggup verifikasi bibit: menta label ilmiah jeung asal benih</x:v>
      </x:c>
      <x:c r="L7" s="27" t="str">
        <x:v>Ulah meuli 'ki tambaga' tanpa nama ilmiah; ulah klaim endemik murni lamun can aya herbarium</x:v>
      </x:c>
      <x:c r="M7" s="27" t="str">
        <x:v>Caang isuk; awal hujan; naungan awal mun bibit leutik</x:v>
      </x:c>
      <x:c r="N7" s="27" t="str">
        <x:v>Oktober–Januari</x:v>
      </x:c>
      <x:c r="O7" s="27" t="str">
        <x:v>Perlu konversi Kala Sunda resmi</x:v>
      </x:c>
      <x:c r="P7" s="27" t="str">
        <x:v>Taneuh lembap, subur, drainase alus; ti dataran rendah lembap nepi pegunungan gumantung spesies</x:v>
      </x:c>
      <x:c r="Q7" s="27" t="str">
        <x:v>Menta bibit bersertifikat/teridentifikasi; tanya UPTD/penangkar resmi</x:v>
      </x:c>
      <x:c r="R7" s="27" t="str">
        <x:v>UPTD SPTH, pengedar resmi, komunitas konservasi lokal, BRIN/Kebun Raya pikeun verifikasi</x:v>
      </x:c>
      <x:c r="S7" s="27" t="str">
        <x:v>Lamun 'moal hirup lamun nu nanem teu pas', baca heula: bisa jadi tempatna, cai, jeung laku rawatna nu teu pas</x:v>
      </x:c>
      <x:c r="T7" s="27" t="str">
        <x:v>B/D</x:v>
      </x:c>
      <x:c r="U7" s="27" t="str">
        <x:v>https://conferences.uinsgd.ac.id/index.php/gdcs/article/download/485/295/695 ; https://ejournal.aptklhi.org/index.php/JPHKA/article/view/704 ; https://www.pge.pertamina.com/Media/Uploads/keberlanjutan/file/perlindungan-keanekaragaman-hayati.pdf ; https://plantamor.com/species/search/minor/116</x:v>
      </x:c>
    </x:row>
    <x:row r="8">
      <x:c r="A8" s="27" t="n">
        <x:v>7</x:v>
      </x:c>
      <x:c r="B8" s="27" t="str">
        <x:v>Ki Riung / Pasang Riung</x:v>
      </x:c>
      <x:c r="C8" s="27" t="str">
        <x:v>Castanopsis acuminatissima</x:v>
      </x:c>
      <x:c r="D8" s="27" t="str">
        <x:v>PANGIRING: fagaceae pegunungan</x:v>
      </x:c>
      <x:c r="E8" s="27" t="str">
        <x:v>Perlu cek status IUCN/aturan; teu otomatis dilindungi</x:v>
      </x:c>
      <x:c r="F8" s="27" t="str">
        <x:v>Asli hutan pegunungan Jawa Barat; lain endemik murni dumasar data awal</x:v>
      </x:c>
      <x:c r="G8" s="27" t="str">
        <x:v>Gede Pangrango; hutan habitat Owa Jawa; pegunungan Jabar</x:v>
      </x:c>
      <x:c r="H8" s="27" t="str">
        <x:v>Tangkal pasang/riung bagian leuweung kolot pegunungan</x:v>
      </x:c>
      <x:c r="I8" s="27" t="str">
        <x:v>Buah keur satwa; akar nyekel humus; ngajaga jaringan leuweung</x:v>
      </x:c>
      <x:c r="J8" s="27" t="str">
        <x:v>Nguatkeun hubungan jalma jeung satwa/leuweung, henteu ngan kayu</x:v>
      </x:c>
      <x:c r="K8" s="27" t="str">
        <x:v>Nu boga lahan pegunungan jeung naungan; kelompok konservasi</x:v>
      </x:c>
      <x:c r="L8" s="27" t="str">
        <x:v>Ulah ngacampur jeung saninten tanpa identifikasi; ulah tebang keur kayu</x:v>
      </x:c>
      <x:c r="M8" s="27" t="str">
        <x:v>Isuk, teduh, awal hujan</x:v>
      </x:c>
      <x:c r="N8" s="27" t="str">
        <x:v>Oktober–Januari</x:v>
      </x:c>
      <x:c r="O8" s="27" t="str">
        <x:v>Perlu konversi Kala Sunda resmi</x:v>
      </x:c>
      <x:c r="P8" s="27" t="str">
        <x:v>Taneuh humus, asam-lemes, pegunungan lembap</x:v>
      </x:c>
      <x:c r="Q8" s="27" t="str">
        <x:v>Cek UPTD/BRIN/Kebun Raya; kumpulkeun biji legal lamun aya izin</x:v>
      </x:c>
      <x:c r="R8" s="27" t="str">
        <x:v>BRIN/Kebun Raya Cibodas, UPTD SPTH, komunitas konservasi</x:v>
      </x:c>
      <x:c r="S8" s="27" t="str">
        <x:v>Tangkal buah leuweung pikeun satwa: jalma nanem kudu sanggup ngabagi hasil ka buana</x:v>
      </x:c>
      <x:c r="T8" s="27" t="str">
        <x:v>B/D</x:v>
      </x:c>
      <x:c r="U8" s="27" t="str">
        <x:v>https://conferences.uinsgd.ac.id/index.php/gdcs/article/download/485/295/695 ; https://ejournal.aptklhi.org/index.php/JPHKA/article/view/704</x:v>
      </x:c>
    </x:row>
    <x:row r="9">
      <x:c r="A9" s="27" t="n">
        <x:v>8</x:v>
      </x:c>
      <x:c r="B9" s="27" t="str">
        <x:v>Rasamala</x:v>
      </x:c>
      <x:c r="C9" s="27" t="str">
        <x:v>Altingia excelsa</x:v>
      </x:c>
      <x:c r="D9" s="27" t="str">
        <x:v>PANGIRING: pohon gede ikon hutan pegunungan Jabar</x:v>
      </x:c>
      <x:c r="E9" s="27" t="str">
        <x:v>Umumna henteu disebut langka global; lokal perlu diriksa</x:v>
      </x:c>
      <x:c r="F9" s="27" t="str">
        <x:v>Sebaran Asia luas; pohon khas pegunungan Jawa Barat</x:v>
      </x:c>
      <x:c r="G9" s="27" t="str">
        <x:v>Bodogol; Gede Pangrango; Tahura; hutan pegunungan Bandung-Cianjur-Sukabumi</x:v>
      </x:c>
      <x:c r="H9" s="27" t="str">
        <x:v>Baheula tegakan rasamala jadi ciri leuweung pegunungan Priangan</x:v>
      </x:c>
      <x:c r="I9" s="27" t="str">
        <x:v>Akar jeung tajuk kuat ngajaga cai, lembab, jeung taneuh hulu</x:v>
      </x:c>
      <x:c r="J9" s="27" t="str">
        <x:v>Pohon pangeling umur panjang; cocok keur restorasi hulu, bukan halaman sempit</x:v>
      </x:c>
      <x:c r="K9" s="27" t="str">
        <x:v>Pengelola lahan hulu luas, sekolah alam, komunitas konservasi</x:v>
      </x:c>
      <x:c r="L9" s="27" t="str">
        <x:v>Ulah ditanam deukeut imah/pipa sabab bakal gede; ulah tebang liar</x:v>
      </x:c>
      <x:c r="M9" s="27" t="str">
        <x:v>Isuk/mendung; awal musim hujan</x:v>
      </x:c>
      <x:c r="N9" s="27" t="str">
        <x:v>Oktober–Januari</x:v>
      </x:c>
      <x:c r="O9" s="27" t="str">
        <x:v>Perlu konversi Kala Sunda resmi</x:v>
      </x:c>
      <x:c r="P9" s="27" t="str">
        <x:v>Pegunungan lembap; andosol/latosol; drainase alus; ruang akar lega</x:v>
      </x:c>
      <x:c r="Q9" s="27" t="str">
        <x:v>Dishut/UPTD/Perhutani/Kebun Raya; bibit legal umum leuwih gampang</x:v>
      </x:c>
      <x:c r="R9" s="27" t="str">
        <x:v>Dishut Jabar, UPTD SPTH, CDK, Perhutani, Kebun Raya</x:v>
      </x:c>
      <x:c r="S9" s="27" t="str">
        <x:v>Rasamala jadi pancer cai hulu; jalma nu nanem kudu boga jarak jeung rasa tanggung jawab</x:v>
      </x:c>
      <x:c r="T9" s="27" t="str">
        <x:v>B</x:v>
      </x:c>
      <x:c r="U9" s="27" t="str">
        <x:v>https://ejournal.aptklhi.org/index.php/JPHKA/article/view/704 ; https://ejournal.brin.go.id/berita_biologi/article/download/812/1222</x:v>
      </x:c>
    </x:row>
    <x:row r="10">
      <x:c r="A10" s="27" t="n">
        <x:v>9</x:v>
      </x:c>
      <x:c r="B10" s="27" t="str">
        <x:v>Puspa / Seru</x:v>
      </x:c>
      <x:c r="C10" s="27" t="str">
        <x:v>Schima wallichii</x:v>
      </x:c>
      <x:c r="D10" s="27" t="str">
        <x:v>PANGIRING: pohon gede pegunungan</x:v>
      </x:c>
      <x:c r="E10" s="27" t="str">
        <x:v>Umumna LC/teu langka global; lokal penting keur restorasi</x:v>
      </x:c>
      <x:c r="F10" s="27" t="str">
        <x:v>Sebaran Asia luas; asli Jawa Barat</x:v>
      </x:c>
      <x:c r="G10" s="27" t="str">
        <x:v>Gede Pangrango, Halimun-Salak, Bandung raya pegunungan</x:v>
      </x:c>
      <x:c r="H10" s="27" t="str">
        <x:v>Pohon umum dina leuweung pegunungan, tapi tegakan kolot terus susut</x:v>
      </x:c>
      <x:c r="I10" s="27" t="str">
        <x:v>Pioneer/kanopi; bantu mulangkeun leuweung rusak; akar nyekel lereng</x:v>
      </x:c>
      <x:c r="J10" s="27" t="str">
        <x:v>Ngajarkeun laku riksa: gampang tumuwuh tapi tetep kudu rawat</x:v>
      </x:c>
      <x:c r="K10" s="27" t="str">
        <x:v>Warga hulu, lahan rusak, RHL, kampus/sekolah</x:v>
      </x:c>
      <x:c r="L10" s="27" t="str">
        <x:v>Ulah ditanam teuing deukeut bangunan; ulah dianggap ganti leuweung alami sagemblengna</x:v>
      </x:c>
      <x:c r="M10" s="27" t="str">
        <x:v>Isuk/mendung, awal hujan</x:v>
      </x:c>
      <x:c r="N10" s="27" t="str">
        <x:v>Oktober–Januari</x:v>
      </x:c>
      <x:c r="O10" s="27" t="str">
        <x:v>Perlu konversi Kala Sunda resmi</x:v>
      </x:c>
      <x:c r="P10" s="27" t="str">
        <x:v>Taneuh subur-asam, lembap, pegunungan; toleran lahan terganggu</x:v>
      </x:c>
      <x:c r="Q10" s="27" t="str">
        <x:v>Bibit bisa diajukeun ka Dishut/UPTD/CDK lamun aya stok</x:v>
      </x:c>
      <x:c r="R10" s="27" t="str">
        <x:v>Dishut Jabar, UPTD SPTH, CDK, pengedar resmi</x:v>
      </x:c>
      <x:c r="S10" s="27" t="str">
        <x:v>Puspa cocok keur jalma nu ngamimitian restorasi tapi tetep hormat ka ragam jenis</x:v>
      </x:c>
      <x:c r="T10" s="27" t="str">
        <x:v>B</x:v>
      </x:c>
      <x:c r="U10" s="27" t="str">
        <x:v>https://ejournal.aptklhi.org/index.php/JPHKA/article/view/704 ; https://uptdspth-dishut.jabarprov.go.id/bibitgratistanamanhutanspth</x:v>
      </x:c>
    </x:row>
    <x:row r="11">
      <x:c r="A11" s="27" t="n">
        <x:v>10</x:v>
      </x:c>
      <x:c r="B11" s="27" t="str">
        <x:v>Jamuju / Ki Putri konifer</x:v>
      </x:c>
      <x:c r="C11" s="27" t="str">
        <x:v>Dacrycarpus imbricatus / Podocarpus spp.</x:v>
      </x:c>
      <x:c r="D11" s="27" t="str">
        <x:v>PANGIRING: konifer pegunungan Jabar</x:v>
      </x:c>
      <x:c r="E11" s="27" t="str">
        <x:v>Status beda per spesies; perlu cek IUCN; lokal henteu loba</x:v>
      </x:c>
      <x:c r="F11" s="27" t="str">
        <x:v>Asli pegunungan tropis Asia; aya di Jawa Barat</x:v>
      </x:c>
      <x:c r="G11" s="27" t="str">
        <x:v>Gede Pangrango; hutan pegunungan luhur; koleksi kebun raya</x:v>
      </x:c>
      <x:c r="H11" s="27" t="str">
        <x:v>Bagian leuweung pegunungan luhur; sawaréh hese ditempo di luar konservasi</x:v>
      </x:c>
      <x:c r="I11" s="27" t="str">
        <x:v>Ngajaga leuweung luhur; habitat mikro; akar dina taneuh asam-lembap</x:v>
      </x:c>
      <x:c r="J11" s="27" t="str">
        <x:v>Ngajarkeun eling kana leuweung luhur anu lambat tumuwuh</x:v>
      </x:c>
      <x:c r="K11" s="27" t="str">
        <x:v>Pengelola konservasi, lahan tinggi, suhu sejuk</x:v>
      </x:c>
      <x:c r="L11" s="27" t="str">
        <x:v>Ulah tanam dataran panas; ulah ambil anakan liar</x:v>
      </x:c>
      <x:c r="M11" s="27" t="str">
        <x:v>Isuk tiis; mendung; awal hujan</x:v>
      </x:c>
      <x:c r="N11" s="27" t="str">
        <x:v>Oktober–Desember di dataran luhur</x:v>
      </x:c>
      <x:c r="O11" s="27" t="str">
        <x:v>Perlu konversi Kala Sunda resmi</x:v>
      </x:c>
      <x:c r="P11" s="27" t="str">
        <x:v>Pegunungan luhur, sejuk, lembap, asam, drainase alus</x:v>
      </x:c>
      <x:c r="Q11" s="27" t="str">
        <x:v>Konsultasi BRIN/Kebun Raya Cibodas, TNGGP, UPTD</x:v>
      </x:c>
      <x:c r="R11" s="27" t="str">
        <x:v>BRIN/Kebun Raya Cibodas, TNGGP, UPTD SPTH lamun aya</x:v>
      </x:c>
      <x:c r="S11" s="27" t="str">
        <x:v>Tangkal luhur: cocok keur nu laku na henteu rurusuhan</x:v>
      </x:c>
      <x:c r="T11" s="27" t="str">
        <x:v>B/D</x:v>
      </x:c>
      <x:c r="U11" s="27" t="str">
        <x:v>https://ejournal.aptklhi.org/index.php/JPHKA/article/view/704 ; https://mongabay.co.id/hutan-pegunungan/</x:v>
      </x:c>
    </x:row>
    <x:row r="12">
      <x:c r="A12" s="27" t="n">
        <x:v>11</x:v>
      </x:c>
      <x:c r="B12" s="27" t="str">
        <x:v>Damar</x:v>
      </x:c>
      <x:c r="C12" s="27" t="str">
        <x:v>Agathis dammara</x:v>
      </x:c>
      <x:c r="D12" s="27" t="str">
        <x:v>PANGIRING: pohon gede damar/resin</x:v>
      </x:c>
      <x:c r="E12" s="27" t="str">
        <x:v>Teu endemik Jabar; status lokal perlu cek; penting budaya kayu-getah</x:v>
      </x:c>
      <x:c r="F12" s="27" t="str">
        <x:v>Sebaran Indonesia/Malesia; ditanam di Jawa Barat</x:v>
      </x:c>
      <x:c r="G12" s="27" t="str">
        <x:v>Gunung Wayang; perkebunan/hutan rakyat; koleksi arboretum</x:v>
      </x:c>
      <x:c r="H12" s="27" t="str">
        <x:v>Baheula damar/resin jeung kayu jadi guna leuweung</x:v>
      </x:c>
      <x:c r="I12" s="27" t="str">
        <x:v>Tajuk gede; akar nyekel tanah; resin/guna non-kayu lamun dikelola bijak</x:v>
      </x:c>
      <x:c r="J12" s="27" t="str">
        <x:v>Mangpaat ekonomi jangka panjang tanpa tebang lamun fokus getah/edukasi</x:v>
      </x:c>
      <x:c r="K12" s="27" t="str">
        <x:v>Hutan rakyat luas, sekolah alam, kebun konservasi</x:v>
      </x:c>
      <x:c r="L12" s="27" t="str">
        <x:v>Ulah halaman sempit; ulah eksploitasi resin teuing</x:v>
      </x:c>
      <x:c r="M12" s="27" t="str">
        <x:v>Isuk/mendung; awal hujan</x:v>
      </x:c>
      <x:c r="N12" s="27" t="str">
        <x:v>Oktober–Januari</x:v>
      </x:c>
      <x:c r="O12" s="27" t="str">
        <x:v>Perlu konversi Kala Sunda resmi</x:v>
      </x:c>
      <x:c r="P12" s="27" t="str">
        <x:v>Lahan subur, curah hujan cukup, drainase; butuh ruang lega</x:v>
      </x:c>
      <x:c r="Q12" s="27" t="str">
        <x:v>Dishut/UPTD/CDK/penangkar resmi</x:v>
      </x:c>
      <x:c r="R12" s="27" t="str">
        <x:v>Dishut Jabar, UPTD SPTH, CDK, pengedar resmi</x:v>
      </x:c>
      <x:c r="S12" s="27" t="str">
        <x:v>Damar ngingetkeun yén mangpaat leuweung henteu kudu salawasna ditebang</x:v>
      </x:c>
      <x:c r="T12" s="27" t="str">
        <x:v>B/D</x:v>
      </x:c>
      <x:c r="U12" s="27" t="str">
        <x:v>https://mongabay.co.id/2023/12/04/doni-monardo-jenderal-pohon-itu-telah-pergi/ ; https://uptdspth-dishut.jabarprov.go.id/bibitgratistanamanhutanspth</x:v>
      </x:c>
    </x:row>
    <x:row r="13">
      <x:c r="A13" s="27" t="n">
        <x:v>12</x:v>
      </x:c>
      <x:c r="B13" s="27" t="str">
        <x:v>Pasang / Pasang batu</x:v>
      </x:c>
      <x:c r="C13" s="27" t="str">
        <x:v>Lithocarpus spp. / Quercus spp.</x:v>
      </x:c>
      <x:c r="D13" s="27" t="str">
        <x:v>PANGIRING: oak Sunda pegunungan</x:v>
      </x:c>
      <x:c r="E13" s="27" t="str">
        <x:v>Status beda per spesies; perlu identifikasi</x:v>
      </x:c>
      <x:c r="F13" s="27" t="str">
        <x:v>Asli hutan pegunungan Jawa Barat; henteu bisa digeneralisir</x:v>
      </x:c>
      <x:c r="G13" s="27" t="str">
        <x:v>Gede Pangrango; Halimun-Salak; pegunungan Priangan</x:v>
      </x:c>
      <x:c r="H13" s="27" t="str">
        <x:v>Bagian leuweung kolot; buah keur satwa</x:v>
      </x:c>
      <x:c r="I13" s="27" t="str">
        <x:v>Ngajaga humus; pakan satwa; tajuk nyekel uap cai</x:v>
      </x:c>
      <x:c r="J13" s="27" t="str">
        <x:v>Ngajarkeun ngabagi buah leuweung keur satwa</x:v>
      </x:c>
      <x:c r="K13" s="27" t="str">
        <x:v>Nu sanggup verifikasi spesies; lahan pegunungan</x:v>
      </x:c>
      <x:c r="L13" s="27" t="str">
        <x:v>Ulah nyebut kabeh pasang sarua; ulah ambil biji ti zona inti</x:v>
      </x:c>
      <x:c r="M13" s="27" t="str">
        <x:v>Isuk teduh; awal hujan</x:v>
      </x:c>
      <x:c r="N13" s="27" t="str">
        <x:v>Oktober–Januari</x:v>
      </x:c>
      <x:c r="O13" s="27" t="str">
        <x:v>Perlu konversi Kala Sunda resmi</x:v>
      </x:c>
      <x:c r="P13" s="27" t="str">
        <x:v>Humus asam, lembap, pegunungan</x:v>
      </x:c>
      <x:c r="Q13" s="27" t="str">
        <x:v>Kebun raya/UPTD/komunitas botani; bibit legal</x:v>
      </x:c>
      <x:c r="R13" s="27" t="str">
        <x:v>BRIN/Kebun Raya Cibodas, UPTD SPTH, komunitas konservasi</x:v>
      </x:c>
      <x:c r="S13" s="27" t="str">
        <x:v>Pasang ngajaga rasa leuweung kolot; jalma nanem kudu siap teu langsung ningali hasil</x:v>
      </x:c>
      <x:c r="T13" s="27" t="str">
        <x:v>B/D</x:v>
      </x:c>
      <x:c r="U13" s="27" t="str">
        <x:v>https://ejournal.aptklhi.org/index.php/JPHKA/article/view/704 ; https://telusuri.id/mengantar-janji-ke-lembah-mandalawangi-gunung-pangrango/</x:v>
      </x:c>
    </x:row>
    <x:row r="14">
      <x:c r="A14" s="27" t="n">
        <x:v>13</x:v>
      </x:c>
      <x:c r="B14" s="27" t="str">
        <x:v>Huru / Huru Merang</x:v>
      </x:c>
      <x:c r="C14" s="27" t="str">
        <x:v>Neolitsea cassiaefolia / Litsea spp.</x:v>
      </x:c>
      <x:c r="D14" s="27" t="str">
        <x:v>PANGIRING: kayu hutan Sunda</x:v>
      </x:c>
      <x:c r="E14" s="27" t="str">
        <x:v>Status beda per spesies; perlu identifikasi</x:v>
      </x:c>
      <x:c r="F14" s="27" t="str">
        <x:v>Asli hutan Jawa Barat; loba ngaran huru nu beda spesies</x:v>
      </x:c>
      <x:c r="G14" s="27" t="str">
        <x:v>Gede Pangrango; Halimun-Salak; hutan pegunungan Sunda</x:v>
      </x:c>
      <x:c r="H14" s="27" t="str">
        <x:v>Huru bagian leuweung aromatik/medang, penting tapi mindeng teu kacatet ku umum</x:v>
      </x:c>
      <x:c r="I14" s="27" t="str">
        <x:v>Daun/buah keur satwa; kanopi tengah; nyambungkeun lapisan leuweung</x:v>
      </x:c>
      <x:c r="J14" s="27" t="str">
        <x:v>Ngajarkeun teu ngan milih pohon populer; leuweung butuh lapisan</x:v>
      </x:c>
      <x:c r="K14" s="27" t="str">
        <x:v>Nu boga niat restorasi campuran, teu monokultur</x:v>
      </x:c>
      <x:c r="L14" s="27" t="str">
        <x:v>Ulah tanam monospesies; ulah salah identifikasi bibit</x:v>
      </x:c>
      <x:c r="M14" s="27" t="str">
        <x:v>Isuk teduh; awal hujan</x:v>
      </x:c>
      <x:c r="N14" s="27" t="str">
        <x:v>Oktober–Januari</x:v>
      </x:c>
      <x:c r="O14" s="27" t="str">
        <x:v>Perlu konversi Kala Sunda resmi</x:v>
      </x:c>
      <x:c r="P14" s="27" t="str">
        <x:v>Taneuh lembap, subur, naungan awal</x:v>
      </x:c>
      <x:c r="Q14" s="27" t="str">
        <x:v>BRIN/Kebun Raya, UPTD, komunitas botani; perlu label ilmiah</x:v>
      </x:c>
      <x:c r="R14" s="27" t="str">
        <x:v>Kebun Raya Cibodas/Bogor, UPTD SPTH, penangkar resmi</x:v>
      </x:c>
      <x:c r="S14" s="27" t="str">
        <x:v>Huru ngajarkeun laku rinéka; leuweung lain ngan hiji jinis</x:v>
      </x:c>
      <x:c r="T14" s="27" t="str">
        <x:v>B/D</x:v>
      </x:c>
      <x:c r="U14" s="27" t="str">
        <x:v>https://ejournal.aptklhi.org/index.php/JPHKA/article/view/704 ; https://telusuri.id/mengantar-janji-ke-lembah-mandalawangi-gunung-pangrango/</x:v>
      </x:c>
    </x:row>
    <x:row r="15">
      <x:c r="A15" s="27" t="n">
        <x:v>14</x:v>
      </x:c>
      <x:c r="B15" s="27" t="str">
        <x:v>Hantap</x:v>
      </x:c>
      <x:c r="C15" s="27" t="str">
        <x:v>Sterculia oblongata / Sterculia spp.</x:v>
      </x:c>
      <x:c r="D15" s="27" t="str">
        <x:v>PANGIRING: pohon lokal perlu verifikasi</x:v>
      </x:c>
      <x:c r="E15" s="27" t="str">
        <x:v>Status lokal perlu cek; sababaraha laporan nyebut dina kajian kehati</x:v>
      </x:c>
      <x:c r="F15" s="27" t="str">
        <x:v>Asli kawasan Jawa Barat/Banten; takson perlu diriksa</x:v>
      </x:c>
      <x:c r="G15" s="27" t="str">
        <x:v>Bayah Dome/Banten kidul-Jabar kulon; leuweung dataran rendah-hill</x:v>
      </x:c>
      <x:c r="H15" s="27" t="str">
        <x:v>Baheula bagian tangkal leuweung handap; ayeuna teu umum</x:v>
      </x:c>
      <x:c r="I15" s="27" t="str">
        <x:v>Akar jeung kanopi keur stabilitas taneuh; buah keur satwa</x:v>
      </x:c>
      <x:c r="J15" s="27" t="str">
        <x:v>Ngajarkeun miara leuweung handap nu mindeng leungit heula</x:v>
      </x:c>
      <x:c r="K15" s="27" t="str">
        <x:v>Lahan handap-hill lembap, restorasi DAS</x:v>
      </x:c>
      <x:c r="L15" s="27" t="str">
        <x:v>Ulah ngumpulkeun liar tanpa izin; ulah tanam di lahan banjir parah</x:v>
      </x:c>
      <x:c r="M15" s="27" t="str">
        <x:v>Isuk, awal hujan, caang mendung</x:v>
      </x:c>
      <x:c r="N15" s="27" t="str">
        <x:v>Oktober–Desember</x:v>
      </x:c>
      <x:c r="O15" s="27" t="str">
        <x:v>Perlu konversi Kala Sunda resmi</x:v>
      </x:c>
      <x:c r="P15" s="27" t="str">
        <x:v>Dataran rendah/perbukitan lembap; drainase alus</x:v>
      </x:c>
      <x:c r="Q15" s="27" t="str">
        <x:v>Konsultasi kebun raya/komunitas konservasi; bibit legal</x:v>
      </x:c>
      <x:c r="R15" s="27" t="str">
        <x:v>BRIN/Kebun Raya Bogor, UPTD, komunitas lokal</x:v>
      </x:c>
      <x:c r="S15" s="27" t="str">
        <x:v>Hantap asup daftar pangiring heula; perlu specimen jeung sumber kuat</x:v>
      </x:c>
      <x:c r="T15" s="27" t="str">
        <x:v>B/D</x:v>
      </x:c>
      <x:c r="U15" s="27" t="str">
        <x:v>https://www.geoparkbayahdome.com/laporan-akhir-kajian-keterkaitan-geo-bio-budaya/files/basic-html/page59.html</x:v>
      </x:c>
    </x:row>
    <x:row r="16">
      <x:c r="A16" s="27" t="n">
        <x:v>15</x:v>
      </x:c>
      <x:c r="B16" s="27" t="str">
        <x:v>Ki Leho Beureum / Ki Leho</x:v>
      </x:c>
      <x:c r="C16" s="27" t="str">
        <x:v>Saurauia cauliflora / Saurauia spp.</x:v>
      </x:c>
      <x:c r="D16" s="27" t="str">
        <x:v>PANGIRING: lokal penting, bukan kayu utama</x:v>
      </x:c>
      <x:c r="E16" s="27" t="str">
        <x:v>EN dina laporan kehati lokal; status perlu cek per spesies</x:v>
      </x:c>
      <x:c r="F16" s="27" t="str">
        <x:v>Asli hutan Jawa Barat/Banten; takson perlu validasi</x:v>
      </x:c>
      <x:c r="G16" s="27" t="str">
        <x:v>Bayah Dome; hutan lembap; pegunungan rendah</x:v>
      </x:c>
      <x:c r="H16" s="27" t="str">
        <x:v>Bagian leuweung bawah-tengah; buah keur satwa</x:v>
      </x:c>
      <x:c r="I16" s="27" t="str">
        <x:v>Ngajaga keanekaragaman lapisan leuweung jeung pangan satwa</x:v>
      </x:c>
      <x:c r="J16" s="27" t="str">
        <x:v>Latihan teu milih tangkal kayu wungkul; leuweung hirup ku lapisan</x:v>
      </x:c>
      <x:c r="K16" s="27" t="str">
        <x:v>Restorasi biodiversitas, kebun konservasi</x:v>
      </x:c>
      <x:c r="L16" s="27" t="str">
        <x:v>Ulah disebut kayu gede utama; ulah tebang/tukar liar</x:v>
      </x:c>
      <x:c r="M16" s="27" t="str">
        <x:v>Isuk teduh; awal hujan</x:v>
      </x:c>
      <x:c r="N16" s="27" t="str">
        <x:v>Oktober–Januari</x:v>
      </x:c>
      <x:c r="O16" s="27" t="str">
        <x:v>Perlu konversi Kala Sunda resmi</x:v>
      </x:c>
      <x:c r="P16" s="27" t="str">
        <x:v>Taneuh beueus, humus, naungan</x:v>
      </x:c>
      <x:c r="Q16" s="27" t="str">
        <x:v>Kebun raya/komunitas konservasi; perlu izin</x:v>
      </x:c>
      <x:c r="R16" s="27" t="str">
        <x:v>BRIN/Kebun Raya Bogor/Cibodas, komunitas konservasi</x:v>
      </x:c>
      <x:c r="S16" s="27" t="str">
        <x:v>Pangiring leuweung: mangpaatna teu saukur kayu tapi nyangga rasa buana</x:v>
      </x:c>
      <x:c r="T16" s="27" t="str">
        <x:v>B/D</x:v>
      </x:c>
      <x:c r="U16" s="27" t="str">
        <x:v>https://www.geoparkbayahdome.com/laporan-akhir-kajian-keterkaitan-geo-bio-budaya/files/basic-html/page59.html</x:v>
      </x:c>
    </x:row>
    <x:row r="17">
      <x:c r="A17" s="27" t="n">
        <x:v>16</x:v>
      </x:c>
      <x:c r="B17" s="27" t="str">
        <x:v>Kokoleceran</x:v>
      </x:c>
      <x:c r="C17" s="27" t="str">
        <x:v>Vatica bantamensis</x:v>
      </x:c>
      <x:c r="D17" s="27" t="str">
        <x:v>CATETAN SUNDA KULON: endemik Ujung Kulon, Banten; lain Jabar administrasi ayeuna</x:v>
      </x:c>
      <x:c r="E17" s="27" t="str">
        <x:v>EN/CR dina studi populasi; endemik sempit; konservasi khusus</x:v>
      </x:c>
      <x:c r="F17" s="27" t="str">
        <x:v>Endemik Ujung Kulon, Banten (wilayah Sunda kulon, bukan Provinsi Jabar kini)</x:v>
      </x:c>
      <x:c r="G17" s="27" t="str">
        <x:v>Taman Nasional Ujung Kulon; Gunung Payung; area sangat terbatas</x:v>
      </x:c>
      <x:c r="H17" s="27" t="str">
        <x:v>Baheula bagian leuweung kulon Jawa; ayeuna ngan kacatet di Ujung Kulon</x:v>
      </x:c>
      <x:c r="I17" s="27" t="str">
        <x:v>Pohon dipterokarpa langka; nyangga struktur leuweung dataran rendah</x:v>
      </x:c>
      <x:c r="J17" s="27" t="str">
        <x:v>Ngajarkeun wates: teu kabéh tangkal Sunda kulon meunang dipindahkeun ka Jabar</x:v>
      </x:c>
      <x:c r="K17" s="27" t="str">
        <x:v>Hanya lembaga konservasi berizin</x:v>
      </x:c>
      <x:c r="L17" s="27" t="str">
        <x:v>Ulah dipindah/dijual; ulah ditanam sembarangan di luar program resmi</x:v>
      </x:c>
      <x:c r="M17" s="27" t="str">
        <x:v>Bukan rekomendasi tanam umum; konservasi resmi wungkul</x:v>
      </x:c>
      <x:c r="N17" s="27" t="str">
        <x:v>Program resmi, biasana awal hujan</x:v>
      </x:c>
      <x:c r="O17" s="27" t="str">
        <x:v>Perlu konversi Kala Sunda resmi, tapi konservasi nurut protokol lembaga</x:v>
      </x:c>
      <x:c r="P17" s="27" t="str">
        <x:v>Habitat asli Ujung Kulon; dataran rendah lembap; ancaman langkap/invasif</x:v>
      </x:c>
      <x:c r="Q17" s="27" t="str">
        <x:v>Ngaliwatan TNUK/BRIN/Pusat Riset; bukan pasar</x:v>
      </x:c>
      <x:c r="R17" s="27" t="str">
        <x:v>TNUK, BRIN/Kebun Raya, Pusat Riset Konservasi</x:v>
      </x:c>
      <x:c r="S17" s="27" t="str">
        <x:v>Dilebetkeun sabab disebut pohon langka Sunda kulon; statusna bukan target halaman pribadi</x:v>
      </x:c>
      <x:c r="T17" s="27" t="str">
        <x:v>B</x:v>
      </x:c>
      <x:c r="U17" s="27" t="str">
        <x:v>https://smujo.id/biodiv/article/view/3440 ; https://smujo.id/biodiv/article/download/3440/2732/5328 ; https://p2hb.kehutanan.go.id/tkmh-kehutanan/berita/baca.php?slug=teknologi-koffco-terobosan-baru-untuk-menyelamatkan-pohon-langka-kokoleceran-vatica-bantamensis</x:v>
      </x:c>
    </x:row>
    <x:row r="18">
      <x:c r="A18" s="27" t="n">
        <x:v>17</x:v>
      </x:c>
      <x:c r="B18" s="27" t="str">
        <x:v>Kecapi / Sentul</x:v>
      </x:c>
      <x:c r="C18" s="27" t="str">
        <x:v>Sandoricum koetjape</x:v>
      </x:c>
      <x:c r="D18" s="27" t="str">
        <x:v>PANGIRING: pohon buah-kayu lokal menurun</x:v>
      </x:c>
      <x:c r="E18" s="27" t="str">
        <x:v>Populasi lokal menurun; teu endemik Jabar</x:v>
      </x:c>
      <x:c r="F18" s="27" t="str">
        <x:v>Asal Indo-Cina/Malesia barat; kuat di budaya Sunda/Jawa</x:v>
      </x:c>
      <x:c r="G18" s="27" t="str">
        <x:v>Kampung-kampung tua Jabar, kebun rakyat, hutan kota</x:v>
      </x:c>
      <x:c r="H18" s="27" t="str">
        <x:v>Baheula leuwih loba di pakarangan; ayeuna kasilih buah komérsial</x:v>
      </x:c>
      <x:c r="I18" s="27" t="str">
        <x:v>Peneduh; buah keur manusa/satwa; akar nahan taneuh pakarangan</x:v>
      </x:c>
      <x:c r="J18" s="27" t="str">
        <x:v>Mangpaat pangan lokal, pangeling ka kebon kampung</x:v>
      </x:c>
      <x:c r="K18" s="27" t="str">
        <x:v>Warga pakarangan lega, sekolah, kebun pangan lokal</x:v>
      </x:c>
      <x:c r="L18" s="27" t="str">
        <x:v>Ulah tanam di pot sempit/dekat pondasi; ulah buang genetik lokal</x:v>
      </x:c>
      <x:c r="M18" s="27" t="str">
        <x:v>Isuk; awal hujan; caang lemes</x:v>
      </x:c>
      <x:c r="N18" s="27" t="str">
        <x:v>Oktober–Januari</x:v>
      </x:c>
      <x:c r="O18" s="27" t="str">
        <x:v>Perlu konversi Kala Sunda resmi</x:v>
      </x:c>
      <x:c r="P18" s="27" t="str">
        <x:v>Dataran rendah-hill; taneuh subur, drainase alus</x:v>
      </x:c>
      <x:c r="Q18" s="27" t="str">
        <x:v>Bibit umum di nurseri; pilih sumber lokal</x:v>
      </x:c>
      <x:c r="R18" s="27" t="str">
        <x:v>Nurseri lokal, Dishut/DLH/kebun bibit kota lamun aya</x:v>
      </x:c>
      <x:c r="S18" s="27" t="str">
        <x:v>Sanes pohon endemik-kritis, tapi penting keur Lemah Cai jeung pangan kampung</x:v>
      </x:c>
      <x:c r="T18" s="27" t="str">
        <x:v>B/D</x:v>
      </x:c>
      <x:c r="U18" s="27" t="str">
        <x:v>https://phe.pertamina.com/uploads/Kehati/Upload/File/3fdfd310-fc7f-46e5-b936-b4a89270f87aBukuISBNKehatiHutanKotaRanggawulung2020.pdf</x:v>
      </x:c>
    </x:row>
    <x:row r="19">
      <x:c r="A19" s="27" t="n">
        <x:v>18</x:v>
      </x:c>
      <x:c r="B19" s="27" t="str">
        <x:v>Kepuh / Kelumpang</x:v>
      </x:c>
      <x:c r="C19" s="27" t="str">
        <x:v>Sterculia foetida / Sterculia spp.</x:v>
      </x:c>
      <x:c r="D19" s="27" t="str">
        <x:v>PANGIRING: pohon gede lokal, perlu sumber Jabar</x:v>
      </x:c>
      <x:c r="E19" s="27" t="str">
        <x:v>Teu endemik Jabar; lokal bisa langka di kampung/kota</x:v>
      </x:c>
      <x:c r="F19" s="27" t="str">
        <x:v>Sebaran Asia tropis; aya di Jawa; cocok dataran handap-hill</x:v>
      </x:c>
      <x:c r="G19" s="27" t="str">
        <x:v>Kampung tua, pesisir/lereng handap, arboretum, hutan kota</x:v>
      </x:c>
      <x:c r="H19" s="27" t="str">
        <x:v>Baheula pohon kampung/pesisir; ayeuna jarang ditanam generasi anyar</x:v>
      </x:c>
      <x:c r="I19" s="27" t="str">
        <x:v>Peneduh gede; akar nahan taneuh; buah keur satwa</x:v>
      </x:c>
      <x:c r="J19" s="27" t="str">
        <x:v>Mangpaat edukasi, peneduh, diversifikasi pohon kampung</x:v>
      </x:c>
      <x:c r="K19" s="27" t="str">
        <x:v>Pekarangan lega, ruang publik, arboretum</x:v>
      </x:c>
      <x:c r="L19" s="27" t="str">
        <x:v>Ulah deukeut imah sempit; bau buah/daun kudu diperhitungkan</x:v>
      </x:c>
      <x:c r="M19" s="27" t="str">
        <x:v>Isuk caang; awal hujan</x:v>
      </x:c>
      <x:c r="N19" s="27" t="str">
        <x:v>Oktober–Januari</x:v>
      </x:c>
      <x:c r="O19" s="27" t="str">
        <x:v>Perlu konversi Kala Sunda resmi</x:v>
      </x:c>
      <x:c r="P19" s="27" t="str">
        <x:v>Taneuh subur, panas-lembap, drainase alus; butuh ruang gedé</x:v>
      </x:c>
      <x:c r="Q19" s="27" t="str">
        <x:v>Nurseri lokal/UPTD/DLH; pastikeun identitas</x:v>
      </x:c>
      <x:c r="R19" s="27" t="str">
        <x:v>Dishut/DLH, UPTD, nurseri lokal</x:v>
      </x:c>
      <x:c r="S19" s="27" t="str">
        <x:v>Dilebetkeun minangka pangiring, lain inti endemik Jabar</x:v>
      </x:c>
      <x:c r="T19" s="27" t="str">
        <x:v>D</x:v>
      </x:c>
      <x:c r="U19" s="27" t="str">
        <x:v>https://books.google.com/books/about/Tumbuhan_berguna_Indonesia.html?hl=id&amp;id=5G0lAAAAMAAJ</x:v>
      </x:c>
    </x:row>
  </x:sheetData>
  <x:conditionalFormatting sqref="D2:D19">
    <x:cfRule type="expression" dxfId="0" priority="1">
      <x:formula>ISNUMBER(SEARCH("INTI",D2))</x:formula>
    </x:cfRule>
    <x:cfRule type="expression" dxfId="1" priority="2">
      <x:formula>ISNUMBER(SEARCH("PANGIRING",D2))</x:formula>
    </x:cfRule>
  </x:conditionalFormatting>
  <x:conditionalFormatting sqref="T2:T19">
    <x:cfRule type="expression" dxfId="2" priority="3">
      <x:formula>ISNUMBER(SEARCH("X",T2))</x:formula>
    </x:cfRule>
  </x:conditionalFormatting>
  <x:dataValidations count="2">
    <x:dataValidation type="list" sqref="D2:D19">
      <x:formula1>"INTI: langka-prioritas Jawa Barat,INTI: endemik Jawa, kritis,INTI/PANGIRING: langka Jawa Barat,PANGIRING: asli/leuweung Jabar, verifikasi takson,CATETAN SUNDA KULON: endemik Ujung Kulon, Banten; lain Jabar administrasi ayeuna"</x:formula1>
    </x:dataValidation>
    <x:dataValidation type="list" sqref="T2:T19">
      <x:formula1>"A,B,B/D,D,X,D/X"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f8a46f78d14d0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8" hidden="0" customWidth="1"/>
    <x:col min="3" max="3" width="35" hidden="0" customWidth="1"/>
    <x:col min="4" max="4" width="18" hidden="0" customWidth="1"/>
    <x:col min="5" max="5" width="45" hidden="0" customWidth="1"/>
    <x:col min="6" max="6" width="45" hidden="0" customWidth="1"/>
    <x:col min="7" max="7" width="12" hidden="0" customWidth="1"/>
    <x:col min="8" max="8" width="50" hidden="0" customWidth="1"/>
  </x:cols>
  <x:sheetData>
    <x:row r="1">
      <x:c r="A1" s="26" t="str">
        <x:v>No</x:v>
      </x:c>
      <x:c r="B1" s="26" t="str">
        <x:v>Ngaran anu disebut/diinget</x:v>
      </x:c>
      <x:c r="C1" s="26" t="str">
        <x:v>Dugaan identitas</x:v>
      </x:c>
      <x:c r="D1" s="26" t="str">
        <x:v>Status dina tabel</x:v>
      </x:c>
      <x:c r="E1" s="26" t="str">
        <x:v>Nu kudu dipariksa</x:v>
      </x:c>
      <x:c r="F1" s="26" t="str">
        <x:v>Putusan ayeuna</x:v>
      </x:c>
      <x:c r="G1" s="26" t="str">
        <x:v>Tingkat</x:v>
      </x:c>
      <x:c r="H1" s="26" t="str">
        <x:v>Catetan</x:v>
      </x:c>
    </x:row>
    <x:row r="2">
      <x:c r="A2" s="27" t="n">
        <x:v>1</x:v>
      </x:c>
      <x:c r="B2" s="27" t="str">
        <x:v>Pohon Naga / Tangkal Naga</x:v>
      </x:c>
      <x:c r="C2" s="27" t="str">
        <x:v>Bisa jadi Nagasari (Mesua ferrea), bisa jadi Dracontomelon dao, bisa ogé buah naga (bukan pohon kayu).</x:v>
      </x:c>
      <x:c r="D2" s="27" t="str">
        <x:v>DITUNDA</x:v>
      </x:c>
      <x:c r="E2" s="27" t="str">
        <x:v>Foto daun, bunga, buah, kulit batang, lokasi, ngaran ti kokolot, sampel herbarium.</x:v>
      </x:c>
      <x:c r="F2" s="27" t="str">
        <x:v>Teu diasupkeun inti Jabar. Klaim 'moal hirup lamun nu nanem teu pas' = X dugi aya sumber adat/naskah jelas.</x:v>
      </x:c>
      <x:c r="G2" s="27" t="str">
        <x:v>X/D</x:v>
      </x:c>
      <x:c r="H2" s="27" t="str">
        <x:v>Lamun maksudna Nagasari, éta lain endemik Jawa Barat murni. Bisa jadi pohon ritual di sababaraha budaya, tapi kudu sumber.</x:v>
      </x:c>
    </x:row>
    <x:row r="3">
      <x:c r="A3" s="27" t="n">
        <x:v>2</x:v>
      </x:c>
      <x:c r="B3" s="27" t="str">
        <x:v>Tangkal Degung / Pohon Degung</x:v>
      </x:c>
      <x:c r="C3" s="27" t="str">
        <x:v>Can kapanggih identitas botani dipercaya; aya catetan sosial yén hiji tempat disebut Degung sabab baheula loba pohon degung.</x:v>
      </x:c>
      <x:c r="D3" s="27" t="str">
        <x:v>DITUNDA</x:v>
      </x:c>
      <x:c r="E3" s="27" t="str">
        <x:v>Tanya warga lokal; menta foto daun/buah/kayu; cek herbarium; cek kamus lokal.</x:v>
      </x:c>
      <x:c r="F3" s="27" t="str">
        <x:v>Can ditarima jadi entri ilmiah. Ulah dipaké keur bibit saméméh jelas.</x:v>
      </x:c>
      <x:c r="G3" s="27" t="str">
        <x:v>X</x:v>
      </x:c>
      <x:c r="H3" s="27" t="str">
        <x:v>Perlu pisan verifikasi; hiji ngaran lokal bisa teu sarua antar kampung.</x:v>
      </x:c>
    </x:row>
    <x:row r="4">
      <x:c r="A4" s="27" t="n">
        <x:v>3</x:v>
      </x:c>
      <x:c r="B4" s="27" t="str">
        <x:v>Tangkal Ciwaruga</x:v>
      </x:c>
      <x:c r="C4" s="27" t="str">
        <x:v>Ciwaruga sigana lokasi/ngaran lembur, lain ngaran spesies.</x:v>
      </x:c>
      <x:c r="D4" s="27" t="str">
        <x:v>DITUNDA</x:v>
      </x:c>
      <x:c r="E4" s="27" t="str">
        <x:v>Koordinat tangkal, foto, carita warga, ukuran, daun, buah.</x:v>
      </x:c>
      <x:c r="F4" s="27" t="str">
        <x:v>Can diasupkeun jadi spesies. Bisa dijieun entri 'pohon induk lokal' lamun data aya.</x:v>
      </x:c>
      <x:c r="G4" s="27" t="str">
        <x:v>X</x:v>
      </x:c>
      <x:c r="H4" s="27" t="str">
        <x:v>Upami aya pohon gede di Ciwaruga, éta penting jadi catetan arboretum/kabuyutan lokal.</x:v>
      </x:c>
    </x:row>
    <x:row r="5">
      <x:c r="A5" s="27" t="n">
        <x:v>4</x:v>
      </x:c>
      <x:c r="B5" s="27" t="str">
        <x:v>Tangkal nu moal hirup mun nu nanem teu pas</x:v>
      </x:c>
      <x:c r="C5" s="27" t="str">
        <x:v>Bisa hartina salah lahan, salah cai, salah wanci, salah rawat, atawa klaim adat khusus.</x:v>
      </x:c>
      <x:c r="D5" s="27" t="str">
        <x:v>DIBACA ULANG</x:v>
      </x:c>
      <x:c r="E5" s="27" t="str">
        <x:v>Sumber naskah/adat; saha anu nyebut; ritual/larangan naon; bukti ekologis.</x:v>
      </x:c>
      <x:c r="F5" s="27" t="str">
        <x:v>Dina tabel ieu dibaca salaku kecocokan laku + lemah-cai, henteu jadi ramalan mutlak.</x:v>
      </x:c>
      <x:c r="G5" s="27" t="str">
        <x:v>D/X</x:v>
      </x:c>
      <x:c r="H5" s="27" t="str">
        <x:v>Sunda Buhun teu meunang dipalsukeun ku klaim sakral tanpa sumber.</x:v>
      </x:c>
    </x:row>
  </x:sheetData>
  <x:pageMargins left="0.7" right="0.7" top="0.75" bottom="0.75" header="0.3" footer="0.3"/>
  <x:tableParts count="1">
    <x:tablePart xmlns:r="http://schemas.openxmlformats.org/officeDocument/2006/relationships" r:id="Re6b111312eab4ae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5" hidden="0" customWidth="1"/>
    <x:col min="3" max="3" width="35" hidden="0" customWidth="1"/>
    <x:col min="4" max="4" width="45" hidden="0" customWidth="1"/>
    <x:col min="5" max="5" width="50" hidden="0" customWidth="1"/>
    <x:col min="6" max="6" width="55" hidden="0" customWidth="1"/>
  </x:cols>
  <x:sheetData>
    <x:row r="1">
      <x:c r="A1" s="26" t="str">
        <x:v>Jalur</x:v>
      </x:c>
      <x:c r="B1" s="26" t="str">
        <x:v>Saha / lembaga</x:v>
      </x:c>
      <x:c r="C1" s="26" t="str">
        <x:v>Kanggo jenis naon</x:v>
      </x:c>
      <x:c r="D1" s="26" t="str">
        <x:v>Cara nyuhunkeun</x:v>
      </x:c>
      <x:c r="E1" s="26" t="str">
        <x:v>Catetan penting</x:v>
      </x:c>
      <x:c r="F1" s="26" t="str">
        <x:v>Sumber URL</x:v>
      </x:c>
    </x:row>
    <x:row r="2">
      <x:c r="A2" s="27" t="str">
        <x:v>Resmi provinsi</x:v>
      </x:c>
      <x:c r="B2" s="27" t="str">
        <x:v>Dinas Kehutanan Provinsi Jawa Barat</x:v>
      </x:c>
      <x:c r="C2" s="27" t="str">
        <x:v>Bibit siap tanam umum/RHL; ketersediaan di-update rutin</x:v>
      </x:c>
      <x:c r="D2" s="27" t="str">
        <x:v>Kirim surat resmi: nama lembaga/kelompok, jenis bibit, lokasi + foto + koordinat, jumlah, tujuan, kontak</x:v>
      </x:c>
      <x:c r="E2" s="27" t="str">
        <x:v>Data bibit dirilis rutin; pengambilan jika disetujui dijadwalkan gratis</x:v>
      </x:c>
      <x:c r="F2" s="27" t="str">
        <x:v>https://dishut.jabarprov.go.id/data-bibit</x:v>
      </x:c>
    </x:row>
    <x:row r="3">
      <x:c r="A3" s="27" t="str">
        <x:v>UPTD perbenihan</x:v>
      </x:c>
      <x:c r="B3" s="27" t="str">
        <x:v>UPTD Sertifikasi dan Perbenihan Tanaman Hutan Jabar</x:v>
      </x:c>
      <x:c r="C3" s="27" t="str">
        <x:v>Bibit tanaman hutan gratis dan informasi mutu benih/bibit</x:v>
      </x:c>
      <x:c r="D3" s="27" t="str">
        <x:v>Surat permohonan ke Kepala UPTD SPTH; lampirkan lokasi, foto/peta, identitas; datang/ email</x:v>
      </x:c>
      <x:c r="E3" s="27" t="str">
        <x:v>Bibit dilarang diperjualbelikan; pemohon tanggung transportasi</x:v>
      </x:c>
      <x:c r="F3" s="27" t="str">
        <x:v>https://uptdspth-dishut.jabarprov.go.id/bibitgratistanamanhutanspth</x:v>
      </x:c>
    </x:row>
    <x:row r="4">
      <x:c r="A4" s="27" t="str">
        <x:v>Pengedar terdaftar</x:v>
      </x:c>
      <x:c r="B4" s="27" t="str">
        <x:v>14 pengada/pengedar benih-bibit tanaman hutan OSS Jabar</x:v>
      </x:c>
      <x:c r="C4" s="27" t="str">
        <x:v>Bibit hutan umum; manglid tercatat diminati</x:v>
      </x:c>
      <x:c r="D4" s="27" t="str">
        <x:v>Hubungi pengedar terdaftar sesuai lokasi dan jenis; minta sertifikat/identitas bibit</x:v>
      </x:c>
      <x:c r="E4" s="27" t="str">
        <x:v>Manglid disebut bisa di CV Akar Mas dan CV Calakan Bina Lingkungan</x:v>
      </x:c>
      <x:c r="F4" s="27" t="str">
        <x:v>https://uptdspth-dishut.jabarprov.go.id/pengadapengedarbibitjawabarat</x:v>
      </x:c>
    </x:row>
    <x:row r="5">
      <x:c r="A5" s="27" t="str">
        <x:v>Konservasi kawasan</x:v>
      </x:c>
      <x:c r="B5" s="27" t="str">
        <x:v>TNGGP/TNGHS/TNUK, BKSDA, BRIN/Kebun Raya</x:v>
      </x:c>
      <x:c r="C5" s="27" t="str">
        <x:v>Jenis kritis/dilindungi: saninten, resak, kokoleceran, palahlar</x:v>
      </x:c>
      <x:c r="D5" s="27" t="str">
        <x:v>Ajukan kerja sama/izin riset/konservasi; jangan ambil dari alam</x:v>
      </x:c>
      <x:c r="E5" s="27" t="str">
        <x:v>Untuk jenis kritis, jalur ini lebih aman dibanding pasar</x:v>
      </x:c>
      <x:c r="F5" s="27" t="str">
        <x:v>https://www.ksdae.menlhk.go.id/</x:v>
      </x:c>
    </x:row>
    <x:row r="6">
      <x:c r="A6" s="27" t="str">
        <x:v>Komunitas lokal</x:v>
      </x:c>
      <x:c r="B6" s="27" t="str">
        <x:v>KTH, arboretum, sekolah alam, komunitas konservasi</x:v>
      </x:c>
      <x:c r="C6" s="27" t="str">
        <x:v>Pohon lokal pangiring, sumber genetik kampung</x:v>
      </x:c>
      <x:c r="D6" s="27" t="str">
        <x:v>Verifikasi identitas, asal benih, izin lahan; dokumentasi tanam</x:v>
      </x:c>
      <x:c r="E6" s="27" t="str">
        <x:v>Ulah narima bibit liar tanpa asal-usul</x:v>
      </x:c>
      <x:c r="F6" s="27" t="str"/>
    </x:row>
  </x:sheetData>
  <x:pageMargins left="0.7" right="0.7" top="0.75" bottom="0.75" header="0.3" footer="0.3"/>
  <x:tableParts count="1">
    <x:tablePart xmlns:r="http://schemas.openxmlformats.org/officeDocument/2006/relationships" r:id="Re4462a30705347e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28" hidden="0" customWidth="1"/>
    <x:col min="5" max="5" width="30" hidden="0" customWidth="1"/>
    <x:col min="6" max="6" width="40" hidden="0" customWidth="1"/>
    <x:col min="7" max="7" width="40" hidden="0" customWidth="1"/>
  </x:cols>
  <x:sheetData>
    <x:row r="1">
      <x:c r="A1" s="26" t="str">
        <x:v>Kaayaan</x:v>
      </x:c>
      <x:c r="B1" s="26" t="str">
        <x:v>Wanci tanem</x:v>
      </x:c>
      <x:c r="C1" s="26" t="str">
        <x:v>Caang / Poek</x:v>
      </x:c>
      <x:c r="D1" s="26" t="str">
        <x:v>Bulan Masehi praktis Jabar</x:v>
      </x:c>
      <x:c r="E1" s="26" t="str">
        <x:v>Kala Sunda</x:v>
      </x:c>
      <x:c r="F1" s="26" t="str">
        <x:v>Laku</x:v>
      </x:c>
      <x:c r="G1" s="26" t="str">
        <x:v>Larangan</x:v>
      </x:c>
    </x:row>
    <x:row r="2">
      <x:c r="A2" s="27" t="str">
        <x:v>Awal hujan ajeg</x:v>
      </x:c>
      <x:c r="B2" s="27" t="str">
        <x:v>Pangalusna keur mayoritas pohon gede</x:v>
      </x:c>
      <x:c r="C2" s="27" t="str">
        <x:v>Caang lemes: isuk, mendung, sanggeus hujan leutik</x:v>
      </x:c>
      <x:c r="D2" s="27" t="str">
        <x:v>Oktober–Januari, robah nurut cuaca taun éta</x:v>
      </x:c>
      <x:c r="E2" s="27" t="str">
        <x:v>Perlu konversi resmi; ulah ngarang tanggal</x:v>
      </x:c>
      <x:c r="F2" s="27" t="str">
        <x:v>Siraman awal, mulsa, ajir, pagar pelindung</x:v>
      </x:c>
      <x:c r="G2" s="27" t="str">
        <x:v>Ulah tanam nalika taneuh masih garing jero</x:v>
      </x:c>
    </x:row>
    <x:row r="3">
      <x:c r="A3" s="27" t="str">
        <x:v>Usum hujan tengah</x:v>
      </x:c>
      <x:c r="B3" s="27" t="str">
        <x:v>Hadé lamun drainase alus</x:v>
      </x:c>
      <x:c r="C3" s="27" t="str">
        <x:v>Caang-mendung; ulah poék banjir</x:v>
      </x:c>
      <x:c r="D3" s="27" t="str">
        <x:v>Desember–Februari</x:v>
      </x:c>
      <x:c r="E3" s="27" t="str">
        <x:v>Perlu konversi resmi</x:v>
      </x:c>
      <x:c r="F3" s="27" t="str">
        <x:v>Periksa genangan; tambah mulsa daun</x:v>
      </x:c>
      <x:c r="G3" s="27" t="str">
        <x:v>Ulah tanam jenis gunung di lahan tergenang</x:v>
      </x:c>
    </x:row>
    <x:row r="4">
      <x:c r="A4" s="27" t="str">
        <x:v>Ahir hujan</x:v>
      </x:c>
      <x:c r="B4" s="27" t="str">
        <x:v>Masih bisa keur bibit kuat, tapi butuh rawat</x:v>
      </x:c>
      <x:c r="C4" s="27" t="str">
        <x:v>Caang isuk; siap siram dina halodo</x:v>
      </x:c>
      <x:c r="D4" s="27" t="str">
        <x:v>Maret–April</x:v>
      </x:c>
      <x:c r="E4" s="27" t="str">
        <x:v>Perlu konversi resmi</x:v>
      </x:c>
      <x:c r="F4" s="27" t="str">
        <x:v>Rencana siram 3–6 bulan</x:v>
      </x:c>
      <x:c r="G4" s="27" t="str">
        <x:v>Ulah ninggalkeun bibit tanpa cai</x:v>
      </x:c>
    </x:row>
    <x:row r="5">
      <x:c r="A5" s="27" t="str">
        <x:v>Halodo</x:v>
      </x:c>
      <x:c r="B5" s="27" t="str">
        <x:v>Teu dianjurkeun keur pohon gede langka</x:v>
      </x:c>
      <x:c r="C5" s="27" t="str">
        <x:v>Caang panas teuing; poek teu ngabantu lamun cai kurang</x:v>
      </x:c>
      <x:c r="D5" s="27" t="str">
        <x:v>Juni–September umumna</x:v>
      </x:c>
      <x:c r="E5" s="27" t="str">
        <x:v>Perlu konversi resmi</x:v>
      </x:c>
      <x:c r="F5" s="27" t="str">
        <x:v>Persiapan lubang, kompos daun, pagar, rencana bibit</x:v>
      </x:c>
      <x:c r="G5" s="27" t="str">
        <x:v>Ulah maksa tanam jenis langka</x:v>
      </x:c>
    </x:row>
    <x:row r="6">
      <x:c r="A6" s="27" t="str">
        <x:v>Poek / peuting</x:v>
      </x:c>
      <x:c r="B6" s="27" t="str">
        <x:v>Teu jadi patokan tanem utama dina tabel ieu</x:v>
      </x:c>
      <x:c r="C6" s="27" t="str">
        <x:v>Poek = ulah dipaké keur klaim sakral tanpa sumber</x:v>
      </x:c>
      <x:c r="D6" s="27" t="str">
        <x:v>—</x:v>
      </x:c>
      <x:c r="E6" s="27" t="str">
        <x:v>Perlu sumber naskah/adat</x:v>
      </x:c>
      <x:c r="F6" s="27" t="str">
        <x:v>Paké peuting keur nyiapkeun alat/niat, lain nanem sembarangan</x:v>
      </x:c>
      <x:c r="G6" s="27" t="str">
        <x:v>Ulah nyieun ritual kuna palsu</x:v>
      </x:c>
    </x:row>
  </x:sheetData>
  <x:pageMargins left="0.7" right="0.7" top="0.75" bottom="0.75" header="0.3" footer="0.3"/>
  <x:tableParts count="1">
    <x:tablePart xmlns:r="http://schemas.openxmlformats.org/officeDocument/2006/relationships" r:id="R0e933a3938904c9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0" hidden="0" customWidth="1"/>
    <x:col min="4" max="4" width="55" hidden="0" customWidth="1"/>
    <x:col min="5" max="5" width="70" hidden="0" customWidth="1"/>
  </x:cols>
  <x:sheetData>
    <x:row r="1">
      <x:c r="A1" s="26" t="str">
        <x:v>Kode</x:v>
      </x:c>
      <x:c r="B1" s="26" t="str">
        <x:v>Jenis sumber</x:v>
      </x:c>
      <x:c r="C1" s="26" t="str">
        <x:v>Judul / lembaga</x:v>
      </x:c>
      <x:c r="D1" s="26" t="str">
        <x:v>Ringkesan guna</x:v>
      </x:c>
      <x:c r="E1" s="26" t="str">
        <x:v>URL</x:v>
      </x:c>
    </x:row>
    <x:row r="2">
      <x:c r="A2" s="27" t="str">
        <x:v>S1</x:v>
      </x:c>
      <x:c r="B2" s="27" t="str">
        <x:v>Regulasi</x:v>
      </x:c>
      <x:c r="C2" s="27" t="str">
        <x:v>Permen LHK P.106/2018</x:v>
      </x:c>
      <x:c r="D2" s="27" t="str">
        <x:v>Daftar jenis tumbuhan/satwa dilindungi; saninten tercantum</x:v>
      </x:c>
      <x:c r="E2" s="27" t="str">
        <x:v>https://jdih.kehutanan.go.id/new2/home/portfolioDetails3/P_106_2018_JENIS_TSL_menlhk_07252019152513.pdf/106/2018/4/949</x:v>
      </x:c>
    </x:row>
    <x:row r="3">
      <x:c r="A3" s="27" t="str">
        <x:v>S2</x:v>
      </x:c>
      <x:c r="B3" s="27" t="str">
        <x:v>Dinas resmi</x:v>
      </x:c>
      <x:c r="C3" s="27" t="str">
        <x:v>Dinas Kehutanan Provinsi Jawa Barat - Bibit Gratis</x:v>
      </x:c>
      <x:c r="D3" s="27" t="str">
        <x:v>Alur dan data bibit siap tanam; surat permohonan; pengambilan Kamis</x:v>
      </x:c>
      <x:c r="E3" s="27" t="str">
        <x:v>https://dishut.jabarprov.go.id/data-bibit</x:v>
      </x:c>
    </x:row>
    <x:row r="4">
      <x:c r="A4" s="27" t="str">
        <x:v>S3</x:v>
      </x:c>
      <x:c r="B4" s="27" t="str">
        <x:v>Dinas resmi</x:v>
      </x:c>
      <x:c r="C4" s="27" t="str">
        <x:v>UPTD SPTH Jabar - Bibit Gratis Tanaman Hutan</x:v>
      </x:c>
      <x:c r="D4" s="27" t="str">
        <x:v>Syarat teknis/administrasi dan lokasi bibit</x:v>
      </x:c>
      <x:c r="E4" s="27" t="str">
        <x:v>https://uptdspth-dishut.jabarprov.go.id/bibitgratistanamanhutanspth</x:v>
      </x:c>
    </x:row>
    <x:row r="5">
      <x:c r="A5" s="27" t="str">
        <x:v>S4</x:v>
      </x:c>
      <x:c r="B5" s="27" t="str">
        <x:v>Dinas resmi</x:v>
      </x:c>
      <x:c r="C5" s="27" t="str">
        <x:v>UPTD SPTH Jabar - Pengada Pengedar Bibit</x:v>
      </x:c>
      <x:c r="D5" s="27" t="str">
        <x:v>Daftar pengedar terdaftar; manglid disebut tersedia di beberapa pengedar</x:v>
      </x:c>
      <x:c r="E5" s="27" t="str">
        <x:v>https://uptdspth-dishut.jabarprov.go.id/pengadapengedarbibitjawabarat</x:v>
      </x:c>
    </x:row>
    <x:row r="6">
      <x:c r="A6" s="27" t="str">
        <x:v>S5</x:v>
      </x:c>
      <x:c r="B6" s="27" t="str">
        <x:v>Jurnal</x:v>
      </x:c>
      <x:c r="C6" s="27" t="str">
        <x:v>Kajian ekologi permudaan Saninten di TNGGP</x:v>
      </x:c>
      <x:c r="D6" s="27" t="str">
        <x:v>Saninten di Gunung Gede Pangrango; permudaan alam dan ekologi</x:v>
      </x:c>
      <x:c r="E6" s="27" t="str">
        <x:v>https://media.neliti.com/media/publications/54520-ID-kajian-ekologi-permudaan-saninten-castan.pdf</x:v>
      </x:c>
    </x:row>
    <x:row r="7">
      <x:c r="A7" s="27" t="str">
        <x:v>S6</x:v>
      </x:c>
      <x:c r="B7" s="27" t="str">
        <x:v>Jurnal</x:v>
      </x:c>
      <x:c r="C7" s="27" t="str">
        <x:v>Pola penyebaran dan regenerasi Saninten di Selabintana TNGGP</x:v>
      </x:c>
      <x:c r="D7" s="27" t="str">
        <x:v>Pola sebaran/regenerasi saninten</x:v>
      </x:c>
      <x:c r="E7" s="27" t="str">
        <x:v>https://journal.ipb.ac.id/jsilvik/article/download/21306/14564</x:v>
      </x:c>
    </x:row>
    <x:row r="8">
      <x:c r="A8" s="27" t="str">
        <x:v>S7</x:v>
      </x:c>
      <x:c r="B8" s="27" t="str">
        <x:v>Artikel riset</x:v>
      </x:c>
      <x:c r="C8" s="27" t="str">
        <x:v>Botanika - Vatica javanica subsp. javanica</x:v>
      </x:c>
      <x:c r="D8" s="27" t="str">
        <x:v>Status resak brebes/ki tenjo dan keberadaan di Ciangir/Halimun</x:v>
      </x:c>
      <x:c r="E8" s="27" t="str">
        <x:v>https://botanika.id/population-status-and-conservation-of-the-threatened-and-endemic-tree-vatica-javanica-subsp-javanica-dipterocarpaceae/</x:v>
      </x:c>
    </x:row>
    <x:row r="9">
      <x:c r="A9" s="27" t="str">
        <x:v>S8</x:v>
      </x:c>
      <x:c r="B9" s="27" t="str">
        <x:v>Perpustakaan KLHK</x:v>
      </x:c>
      <x:c r="C9" s="27" t="str">
        <x:v>Muspera - Vatica javanica ssp. Ciangir</x:v>
      </x:c>
      <x:c r="D9" s="27" t="str">
        <x:v>Rujukan riset habitat/status di Ciangir Jabar</x:v>
      </x:c>
      <x:c r="E9" s="27" t="str">
        <x:v>https://muspera.kehutanan.go.id/Perpus_search/detail/24358</x:v>
      </x:c>
    </x:row>
    <x:row r="10">
      <x:c r="A10" s="27" t="str">
        <x:v>S9</x:v>
      </x:c>
      <x:c r="B10" s="27" t="str">
        <x:v>Jurnal</x:v>
      </x:c>
      <x:c r="C10" s="27" t="str">
        <x:v>Biodiversitas - Kokoleceran</x:v>
      </x:c>
      <x:c r="D10" s="27" t="str">
        <x:v>Kokoleceran endemik Ujung Kulon, status populasi</x:v>
      </x:c>
      <x:c r="E10" s="27" t="str">
        <x:v>https://smujo.id/biodiv/article/view/3440</x:v>
      </x:c>
    </x:row>
    <x:row r="11">
      <x:c r="A11" s="27" t="str">
        <x:v>S10</x:v>
      </x:c>
      <x:c r="B11" s="27" t="str">
        <x:v>Riset kehutanan</x:v>
      </x:c>
      <x:c r="C11" s="27" t="str">
        <x:v>P2HB - KOFFCO Kokoleceran</x:v>
      </x:c>
      <x:c r="D11" s="27" t="str">
        <x:v>Upaya perbanyakan kokoleceran</x:v>
      </x:c>
      <x:c r="E11" s="27" t="str">
        <x:v>https://p2hb.kehutanan.go.id/tkmh-kehutanan/berita/baca.php?slug=teknologi-koffco-terobosan-baru-untuk-menyelamatkan-pohon-langka-kokoleceran-vatica-bantamensis</x:v>
      </x:c>
    </x:row>
    <x:row r="12">
      <x:c r="A12" s="27" t="str">
        <x:v>S11</x:v>
      </x:c>
      <x:c r="B12" s="27" t="str">
        <x:v>Repositori IPB</x:v>
      </x:c>
      <x:c r="C12" s="27" t="str">
        <x:v>Palahlar Gunung Cakrabuana Sumedang</x:v>
      </x:c>
      <x:c r="D12" s="27" t="str">
        <x:v>Tempat tumbuh Dipterocarpus retusus di Sumedang</x:v>
      </x:c>
      <x:c r="E12" s="27" t="str">
        <x:v>https://repository.ipb.ac.id/handle/123456789/20641</x:v>
      </x:c>
    </x:row>
    <x:row r="13">
      <x:c r="A13" s="27" t="str">
        <x:v>S12</x:v>
      </x:c>
      <x:c r="B13" s="27" t="str">
        <x:v>Jurnal/tesis</x:v>
      </x:c>
      <x:c r="C13" s="27" t="str">
        <x:v>Palahlar Dipterocarpus hasseltii TNGHS</x:v>
      </x:c>
      <x:c r="D13" s="27" t="str">
        <x:v>Studi populasi/distribusi palahlar di Gunung Salak</x:v>
      </x:c>
      <x:c r="E13" s="27" t="str">
        <x:v>https://repository.ipb.ac.id/handle/123456789/122555</x:v>
      </x:c>
    </x:row>
    <x:row r="14">
      <x:c r="A14" s="27" t="str">
        <x:v>S13</x:v>
      </x:c>
      <x:c r="B14" s="27" t="str">
        <x:v>Jurnal</x:v>
      </x:c>
      <x:c r="C14" s="27" t="str">
        <x:v>Kekayaan Jenis Pohon TNGGP</x:v>
      </x:c>
      <x:c r="D14" s="27" t="str">
        <x:v>Daftar jenis pohon Gunung Gede Pangrango</x:v>
      </x:c>
      <x:c r="E14" s="27" t="str">
        <x:v>https://ejournal.aptklhi.org/index.php/JPHKA/article/view/704</x:v>
      </x:c>
    </x:row>
    <x:row r="15">
      <x:c r="A15" s="27" t="str">
        <x:v>S14</x:v>
      </x:c>
      <x:c r="B15" s="27" t="str">
        <x:v>Jurnal</x:v>
      </x:c>
      <x:c r="C15" s="27" t="str">
        <x:v>Manglid - stek pucuk Rootone-F</x:v>
      </x:c>
      <x:c r="D15" s="27" t="str">
        <x:v>Manglid tanaman andalan Jabar; teknik pembibitan vegetatif</x:v>
      </x:c>
      <x:c r="E15" s="27" t="str">
        <x:v>https://media.neliti.com/media/publications/123442-ID-none.pdf</x:v>
      </x:c>
    </x:row>
    <x:row r="16">
      <x:c r="A16" s="27" t="str">
        <x:v>S15</x:v>
      </x:c>
      <x:c r="B16" s="27" t="str">
        <x:v>Buku/monograf</x:v>
      </x:c>
      <x:c r="C16" s="27" t="str">
        <x:v>Heyne - Tumbuhan Berguna Indonesia</x:v>
      </x:c>
      <x:c r="D16" s="27" t="str">
        <x:v>Rujukan guna tumbuhan; bukan sumber ritual</x:v>
      </x:c>
      <x:c r="E16" s="27" t="str">
        <x:v>https://books.google.com/books/about/Tumbuhan_berguna_Indonesia.html?hl=id&amp;id=5G0lAAAAMAAJ</x:v>
      </x:c>
    </x:row>
    <x:row r="17">
      <x:c r="A17" s="27" t="str">
        <x:v>S16</x:v>
      </x:c>
      <x:c r="B17" s="27" t="str">
        <x:v>Pustaka Jero</x:v>
      </x:c>
      <x:c r="C17" s="27" t="str">
        <x:v>Sanghyang Pangeling Buana</x:v>
      </x:c>
      <x:c r="D17" s="27" t="str">
        <x:v>Protokol sumber, wanci, pangucap, Pustaka Hirup</x:v>
      </x:c>
      <x:c r="E17" s="27" t="str">
        <x:v>(file Knowledge GPT)</x:v>
      </x:c>
    </x:row>
  </x:sheetData>
  <x:pageMargins left="0.7" right="0.7" top="0.75" bottom="0.75" header="0.3" footer="0.3"/>
  <x:tableParts count="1">
    <x:tablePart xmlns:r="http://schemas.openxmlformats.org/officeDocument/2006/relationships" r:id="R2906b2ccf3e5422b"/>
  </x:tableParts>
</x:worksheet>
</file>